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360" windowWidth="20115" windowHeight="7695" activeTab="5"/>
  </bookViews>
  <sheets>
    <sheet name="Entries" sheetId="1" r:id="rId1"/>
    <sheet name="T Account" sheetId="2" r:id="rId2"/>
    <sheet name="Tally" sheetId="4" r:id="rId3"/>
    <sheet name="MBS" sheetId="16" r:id="rId4"/>
    <sheet name="Dash" sheetId="14" r:id="rId5"/>
    <sheet name="Control" sheetId="12" r:id="rId6"/>
  </sheets>
  <definedNames>
    <definedName name="BALANCE">#REF!</definedName>
    <definedName name="BalanceSheet">#REF!</definedName>
    <definedName name="DATA">#REF!</definedName>
    <definedName name="FebSheet">#REF!</definedName>
    <definedName name="LISTJUN">#REF!</definedName>
  </definedNames>
  <calcPr calcId="144525"/>
</workbook>
</file>

<file path=xl/calcChain.xml><?xml version="1.0" encoding="utf-8"?>
<calcChain xmlns="http://schemas.openxmlformats.org/spreadsheetml/2006/main">
  <c r="F3" i="16" l="1"/>
  <c r="B21" i="14" l="1"/>
  <c r="B19" i="14"/>
  <c r="F2" i="16" l="1"/>
  <c r="D19" i="14" l="1"/>
  <c r="F7" i="16" l="1"/>
  <c r="F8" i="16" l="1"/>
  <c r="C8" i="16"/>
  <c r="A45" i="12" l="1"/>
  <c r="A44" i="12"/>
  <c r="A43" i="12"/>
  <c r="A42" i="12"/>
  <c r="A41" i="12"/>
  <c r="A40" i="12"/>
  <c r="A39" i="12"/>
  <c r="A38" i="12"/>
  <c r="A37" i="12"/>
  <c r="A36" i="12"/>
  <c r="A35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2" i="12"/>
  <c r="A11" i="12"/>
  <c r="A10" i="12"/>
  <c r="A9" i="12"/>
  <c r="A8" i="12"/>
  <c r="A7" i="12"/>
  <c r="A6" i="12"/>
  <c r="A5" i="12"/>
  <c r="A4" i="12"/>
  <c r="C7" i="16" l="1"/>
  <c r="F1" i="16" s="1"/>
  <c r="K33" i="4" l="1"/>
  <c r="A34" i="12"/>
  <c r="K46" i="4" l="1"/>
  <c r="L32" i="4" l="1"/>
  <c r="A13" i="12" l="1"/>
  <c r="A3" i="12"/>
  <c r="G2" i="4" l="1"/>
  <c r="G5" i="4" l="1"/>
  <c r="K11" i="4" l="1"/>
  <c r="E10" i="4" l="1"/>
  <c r="L45" i="4"/>
  <c r="L43" i="4" l="1"/>
  <c r="G32" i="4"/>
  <c r="F32" i="4"/>
  <c r="G4" i="4"/>
  <c r="G3" i="4"/>
  <c r="H2" i="4"/>
  <c r="C323" i="2"/>
  <c r="F319" i="2" s="1"/>
  <c r="N1" i="4" l="1"/>
  <c r="L31" i="4"/>
  <c r="F323" i="2"/>
  <c r="H3" i="4"/>
  <c r="H5" i="4"/>
  <c r="L39" i="4"/>
  <c r="L4" i="4"/>
  <c r="L2" i="4"/>
  <c r="E12" i="4"/>
  <c r="G12" i="4" s="1"/>
  <c r="L9" i="4"/>
  <c r="L6" i="4"/>
  <c r="F28" i="4"/>
  <c r="L7" i="4"/>
  <c r="L42" i="4"/>
  <c r="L40" i="4"/>
  <c r="L44" i="4"/>
  <c r="L35" i="4"/>
  <c r="L38" i="4"/>
  <c r="L36" i="4"/>
  <c r="L41" i="4"/>
  <c r="L37" i="4"/>
  <c r="F19" i="14" s="1"/>
  <c r="L28" i="4"/>
  <c r="L27" i="4"/>
  <c r="L23" i="4"/>
  <c r="L20" i="4"/>
  <c r="L18" i="4"/>
  <c r="L16" i="4"/>
  <c r="L26" i="4"/>
  <c r="L29" i="4"/>
  <c r="L14" i="4"/>
  <c r="L13" i="4"/>
  <c r="L30" i="4"/>
  <c r="F29" i="4"/>
  <c r="L19" i="4"/>
  <c r="L17" i="4"/>
  <c r="L3" i="4"/>
  <c r="H4" i="4"/>
  <c r="L5" i="4"/>
  <c r="L8" i="4"/>
  <c r="L10" i="4"/>
  <c r="L15" i="4"/>
  <c r="L22" i="4"/>
  <c r="L25" i="4"/>
  <c r="L21" i="4"/>
  <c r="L24" i="4"/>
  <c r="M31" i="4" l="1"/>
  <c r="M32" i="4"/>
  <c r="M5" i="4"/>
  <c r="M15" i="4"/>
  <c r="G10" i="4"/>
  <c r="E14" i="4"/>
  <c r="M29" i="4"/>
  <c r="M14" i="4"/>
  <c r="M13" i="4"/>
  <c r="M7" i="4"/>
  <c r="M28" i="4"/>
  <c r="M27" i="4"/>
  <c r="M23" i="4"/>
  <c r="M18" i="4"/>
  <c r="M30" i="4"/>
  <c r="M19" i="4"/>
  <c r="M17" i="4"/>
  <c r="M26" i="4"/>
  <c r="M9" i="4"/>
  <c r="M6" i="4"/>
  <c r="M20" i="4"/>
  <c r="M16" i="4"/>
  <c r="M4" i="4"/>
  <c r="M2" i="4"/>
  <c r="M3" i="4"/>
  <c r="M22" i="4"/>
  <c r="M25" i="4"/>
  <c r="M24" i="4"/>
  <c r="M21" i="4"/>
  <c r="F30" i="4"/>
  <c r="M10" i="4"/>
  <c r="M8" i="4"/>
  <c r="G14" i="4" l="1"/>
  <c r="L5" i="14"/>
  <c r="L7" i="14" s="1"/>
  <c r="C2" i="16"/>
  <c r="B20" i="14" l="1"/>
  <c r="L16" i="14"/>
  <c r="F1" i="12"/>
</calcChain>
</file>

<file path=xl/connections.xml><?xml version="1.0" encoding="utf-8"?>
<connections xmlns="http://schemas.openxmlformats.org/spreadsheetml/2006/main">
  <connection id="1" odcFile="E:\gethighestbid.iqy" interval="2" name="gethighestbid1" type="4" refreshedVersion="4" background="1" refreshOnLoad="1" saveData="1">
    <webPr consecutive="1" xl2000="1" url="https://api.coinsecure.in/v0/noauth/highestbid" htmlTables="1" htmlFormat="all"/>
  </connection>
  <connection id="2" odcFile="E:\getlowestask.iqy" interval="2" name="getlowestask1" type="4" refreshedVersion="4" background="1" refreshOnLoad="1" saveData="1">
    <webPr consecutive="1" xl2000="1" url="https://api.coinsecure.in/v0/noauth/lowestask" htmlTables="1" htmlFormat="all"/>
  </connection>
</connections>
</file>

<file path=xl/sharedStrings.xml><?xml version="1.0" encoding="utf-8"?>
<sst xmlns="http://schemas.openxmlformats.org/spreadsheetml/2006/main" count="138" uniqueCount="81">
  <si>
    <t>Value Date</t>
  </si>
  <si>
    <t>Description</t>
  </si>
  <si>
    <t xml:space="preserve">        Debit</t>
  </si>
  <si>
    <t>Credit</t>
  </si>
  <si>
    <t>Balance</t>
  </si>
  <si>
    <t>ATM W.</t>
  </si>
  <si>
    <t>Phone</t>
  </si>
  <si>
    <t>P.O.S</t>
  </si>
  <si>
    <t>Tally</t>
  </si>
  <si>
    <t>Date</t>
  </si>
  <si>
    <t>Amount</t>
  </si>
  <si>
    <t>PHONE</t>
  </si>
  <si>
    <t>S. Charges</t>
  </si>
  <si>
    <t>%</t>
  </si>
  <si>
    <t>Total Cash In</t>
  </si>
  <si>
    <t>Total Cash Out</t>
  </si>
  <si>
    <t>ATM Statement</t>
  </si>
  <si>
    <t>POS Statement</t>
  </si>
  <si>
    <t>Check</t>
  </si>
  <si>
    <t>ATM</t>
  </si>
  <si>
    <t>POS</t>
  </si>
  <si>
    <t>Overall</t>
  </si>
  <si>
    <t>Cash In Statement</t>
  </si>
  <si>
    <t>Tally as on:</t>
  </si>
  <si>
    <t>Bank Balance</t>
  </si>
  <si>
    <t xml:space="preserve">Balance </t>
  </si>
  <si>
    <t>Real Balance</t>
  </si>
  <si>
    <t>(WOI)</t>
  </si>
  <si>
    <t>Type</t>
  </si>
  <si>
    <t xml:space="preserve">Particulars </t>
  </si>
  <si>
    <t>Expenses</t>
  </si>
  <si>
    <t>Incomes</t>
  </si>
  <si>
    <t>Starting Balance</t>
  </si>
  <si>
    <t>Planned</t>
  </si>
  <si>
    <t>Actual</t>
  </si>
  <si>
    <t>Current Balance</t>
  </si>
  <si>
    <t>Surplus/Defecit</t>
  </si>
  <si>
    <t>-</t>
  </si>
  <si>
    <t>*</t>
  </si>
  <si>
    <t>List of sub accounts:</t>
  </si>
  <si>
    <t>Average</t>
  </si>
  <si>
    <t>Progress(c)</t>
  </si>
  <si>
    <t>Make a new entry</t>
  </si>
  <si>
    <t>NF Incomes</t>
  </si>
  <si>
    <t>Balance NF</t>
  </si>
  <si>
    <t>Total Surplus inc. Savings</t>
  </si>
  <si>
    <t>Spending Patterns</t>
  </si>
  <si>
    <t>Progress©</t>
  </si>
  <si>
    <r>
      <rPr>
        <sz val="72"/>
        <color rgb="FF00B050"/>
        <rFont val="Bauhaus 93"/>
        <family val="5"/>
      </rPr>
      <t>P</t>
    </r>
    <r>
      <rPr>
        <sz val="72"/>
        <color rgb="FF929292"/>
        <rFont val="Bauhaus 93"/>
        <family val="5"/>
      </rPr>
      <t>r</t>
    </r>
    <r>
      <rPr>
        <sz val="72"/>
        <color rgb="FF00B050"/>
        <rFont val="Bauhaus 93"/>
        <family val="5"/>
      </rPr>
      <t>og</t>
    </r>
  </si>
  <si>
    <t>adjustment</t>
  </si>
  <si>
    <t>View Allowed Expenses</t>
  </si>
  <si>
    <t>View Expected Incomes</t>
  </si>
  <si>
    <t xml:space="preserve">Expediture NF </t>
  </si>
  <si>
    <t>Savings NF</t>
  </si>
  <si>
    <t>Accumulated Savings</t>
  </si>
  <si>
    <t>C.U.R.R.E.N.T                    S.T.A.T.S</t>
  </si>
  <si>
    <t>FIvD</t>
  </si>
  <si>
    <t>Future Ratios</t>
  </si>
  <si>
    <t>SvEnf</t>
  </si>
  <si>
    <t>FinAl module</t>
  </si>
  <si>
    <t>SavVCI</t>
  </si>
  <si>
    <t>Cash in Ratios</t>
  </si>
  <si>
    <t>Fi-Index</t>
  </si>
  <si>
    <t>Status Ratios</t>
  </si>
  <si>
    <t>Create OFP sheet</t>
  </si>
  <si>
    <t>MBS Report</t>
  </si>
  <si>
    <t>Progress 1.0.1</t>
  </si>
  <si>
    <t>P.R.O.G</t>
  </si>
  <si>
    <t>SelfPerc.</t>
  </si>
  <si>
    <t>Gross Savings</t>
  </si>
  <si>
    <t xml:space="preserve">Sub-Head </t>
  </si>
  <si>
    <t>Balance c/d</t>
  </si>
  <si>
    <t>Balance b/d</t>
  </si>
  <si>
    <t>Expense 2</t>
  </si>
  <si>
    <t>Expense 3</t>
  </si>
  <si>
    <t>Expense 4</t>
  </si>
  <si>
    <t>Income 2</t>
  </si>
  <si>
    <t>Income 3</t>
  </si>
  <si>
    <t>Income 4</t>
  </si>
  <si>
    <r>
      <rPr>
        <sz val="28"/>
        <color rgb="FFFF0000"/>
        <rFont val="Copperplate Gothic Bold"/>
        <family val="2"/>
      </rPr>
      <t>P</t>
    </r>
    <r>
      <rPr>
        <sz val="28"/>
        <color theme="0" tint="-0.499984740745262"/>
        <rFont val="Copperplate Gothic Bold"/>
        <family val="2"/>
      </rPr>
      <t>.R.</t>
    </r>
    <r>
      <rPr>
        <sz val="28"/>
        <color rgb="FF00B050"/>
        <rFont val="Copperplate Gothic Bold"/>
        <family val="2"/>
      </rPr>
      <t>O.G</t>
    </r>
  </si>
  <si>
    <t>Expense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</si>
</sst>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d\-mmm\-yy;@"/>
    <numFmt numFmtId="165" formatCode="0.0"/>
    <numFmt numFmtId="166" formatCode="[$-409]d\-mmm\-yy;@"/>
    <numFmt numFmtId="167" formatCode="0.0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8"/>
      <color theme="0"/>
      <name val="Agency FB"/>
      <family val="2"/>
    </font>
    <font>
      <sz val="9"/>
      <color theme="0"/>
      <name val="Calibri"/>
      <family val="2"/>
      <scheme val="minor"/>
    </font>
    <font>
      <sz val="72"/>
      <color rgb="FF929292"/>
      <name val="Bauhaus 93"/>
      <family val="5"/>
    </font>
    <font>
      <sz val="11"/>
      <color theme="5"/>
      <name val="Calibri"/>
      <family val="2"/>
      <scheme val="minor"/>
    </font>
    <font>
      <sz val="11"/>
      <color rgb="FF92D050"/>
      <name val="Calibri"/>
      <family val="2"/>
      <scheme val="minor"/>
    </font>
    <font>
      <sz val="28"/>
      <color theme="0" tint="-0.499984740745262"/>
      <name val="Copperplate Gothic Bold"/>
      <family val="2"/>
    </font>
    <font>
      <sz val="28"/>
      <color theme="0"/>
      <name val="Copperplate Gothic Bold"/>
      <family val="2"/>
    </font>
    <font>
      <b/>
      <sz val="14"/>
      <color rgb="FFFF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72"/>
      <color rgb="FF00B050"/>
      <name val="Bauhaus 93"/>
      <family val="5"/>
    </font>
    <font>
      <sz val="28"/>
      <color rgb="FF00B050"/>
      <name val="Copperplate Gothic Bold"/>
      <family val="2"/>
    </font>
    <font>
      <sz val="11"/>
      <name val="Arial"/>
      <family val="2"/>
    </font>
    <font>
      <sz val="11"/>
      <color theme="6"/>
      <name val="Calibri"/>
      <family val="2"/>
      <scheme val="minor"/>
    </font>
    <font>
      <u/>
      <sz val="36"/>
      <color theme="0"/>
      <name val="Aharoni"/>
      <charset val="177"/>
    </font>
    <font>
      <sz val="36"/>
      <color rgb="FF929292"/>
      <name val="Aharoni"/>
      <charset val="177"/>
    </font>
    <font>
      <b/>
      <sz val="11"/>
      <color rgb="FF00B050"/>
      <name val="Calibri"/>
      <family val="2"/>
      <scheme val="minor"/>
    </font>
    <font>
      <sz val="28"/>
      <color rgb="FFFF0000"/>
      <name val="Copperplate Gothic Bold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darkHorizontal"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type="path">
        <stop position="0">
          <color theme="0" tint="-0.49803155613879818"/>
        </stop>
        <stop position="1">
          <color theme="1"/>
        </stop>
      </gradientFill>
    </fill>
    <fill>
      <patternFill patternType="solid">
        <fgColor rgb="FF002060"/>
        <bgColor rgb="FF333333"/>
      </patternFill>
    </fill>
  </fills>
  <borders count="5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 style="medium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thin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indexed="64"/>
      </left>
      <right/>
      <top style="medium">
        <color theme="0"/>
      </top>
      <bottom style="thin">
        <color theme="0"/>
      </bottom>
      <diagonal/>
    </border>
    <border>
      <left/>
      <right style="thin">
        <color indexed="64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 style="thin">
        <color indexed="64"/>
      </left>
      <right/>
      <top style="thin">
        <color theme="0"/>
      </top>
      <bottom style="medium">
        <color theme="0"/>
      </bottom>
      <diagonal/>
    </border>
    <border>
      <left/>
      <right style="thin">
        <color indexed="64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</borders>
  <cellStyleXfs count="1">
    <xf numFmtId="0" fontId="0" fillId="0" borderId="0"/>
  </cellStyleXfs>
  <cellXfs count="233">
    <xf numFmtId="0" fontId="0" fillId="0" borderId="0" xfId="0"/>
    <xf numFmtId="15" fontId="0" fillId="2" borderId="3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4" fillId="4" borderId="0" xfId="0" applyFont="1" applyFill="1" applyBorder="1"/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 applyBorder="1"/>
    <xf numFmtId="0" fontId="5" fillId="4" borderId="2" xfId="0" applyFont="1" applyFill="1" applyBorder="1"/>
    <xf numFmtId="0" fontId="4" fillId="4" borderId="5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0" fillId="4" borderId="9" xfId="0" applyFill="1" applyBorder="1"/>
    <xf numFmtId="0" fontId="0" fillId="4" borderId="5" xfId="0" applyFill="1" applyBorder="1"/>
    <xf numFmtId="165" fontId="4" fillId="4" borderId="5" xfId="0" applyNumberFormat="1" applyFont="1" applyFill="1" applyBorder="1" applyAlignment="1">
      <alignment horizontal="center"/>
    </xf>
    <xf numFmtId="0" fontId="4" fillId="4" borderId="9" xfId="0" applyFont="1" applyFill="1" applyBorder="1"/>
    <xf numFmtId="0" fontId="4" fillId="4" borderId="11" xfId="0" applyFont="1" applyFill="1" applyBorder="1"/>
    <xf numFmtId="165" fontId="4" fillId="4" borderId="12" xfId="0" applyNumberFormat="1" applyFont="1" applyFill="1" applyBorder="1" applyAlignment="1">
      <alignment horizontal="center"/>
    </xf>
    <xf numFmtId="2" fontId="4" fillId="4" borderId="0" xfId="0" applyNumberFormat="1" applyFont="1" applyFill="1" applyBorder="1"/>
    <xf numFmtId="0" fontId="3" fillId="4" borderId="10" xfId="0" applyFont="1" applyFill="1" applyBorder="1" applyAlignment="1">
      <alignment horizontal="right"/>
    </xf>
    <xf numFmtId="0" fontId="3" fillId="4" borderId="13" xfId="0" applyFont="1" applyFill="1" applyBorder="1" applyAlignment="1">
      <alignment horizontal="right"/>
    </xf>
    <xf numFmtId="2" fontId="4" fillId="4" borderId="17" xfId="0" applyNumberFormat="1" applyFont="1" applyFill="1" applyBorder="1"/>
    <xf numFmtId="2" fontId="4" fillId="4" borderId="18" xfId="0" applyNumberFormat="1" applyFont="1" applyFill="1" applyBorder="1"/>
    <xf numFmtId="2" fontId="4" fillId="4" borderId="10" xfId="0" applyNumberFormat="1" applyFont="1" applyFill="1" applyBorder="1"/>
    <xf numFmtId="2" fontId="4" fillId="4" borderId="17" xfId="0" applyNumberFormat="1" applyFont="1" applyFill="1" applyBorder="1" applyAlignment="1">
      <alignment horizontal="center"/>
    </xf>
    <xf numFmtId="2" fontId="4" fillId="4" borderId="18" xfId="0" applyNumberFormat="1" applyFont="1" applyFill="1" applyBorder="1" applyAlignment="1">
      <alignment horizontal="center"/>
    </xf>
    <xf numFmtId="2" fontId="4" fillId="4" borderId="10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2" fontId="4" fillId="4" borderId="19" xfId="0" applyNumberFormat="1" applyFont="1" applyFill="1" applyBorder="1" applyAlignment="1">
      <alignment horizontal="center"/>
    </xf>
    <xf numFmtId="0" fontId="5" fillId="4" borderId="13" xfId="0" applyFont="1" applyFill="1" applyBorder="1"/>
    <xf numFmtId="2" fontId="5" fillId="4" borderId="13" xfId="0" applyNumberFormat="1" applyFont="1" applyFill="1" applyBorder="1"/>
    <xf numFmtId="164" fontId="4" fillId="4" borderId="4" xfId="0" applyNumberFormat="1" applyFont="1" applyFill="1" applyBorder="1" applyAlignment="1">
      <alignment horizontal="left"/>
    </xf>
    <xf numFmtId="164" fontId="4" fillId="4" borderId="0" xfId="0" applyNumberFormat="1" applyFont="1" applyFill="1" applyBorder="1" applyAlignment="1">
      <alignment horizontal="left"/>
    </xf>
    <xf numFmtId="0" fontId="4" fillId="4" borderId="5" xfId="0" applyFont="1" applyFill="1" applyBorder="1" applyAlignment="1">
      <alignment horizontal="right"/>
    </xf>
    <xf numFmtId="0" fontId="5" fillId="4" borderId="14" xfId="0" applyFont="1" applyFill="1" applyBorder="1"/>
    <xf numFmtId="0" fontId="5" fillId="4" borderId="15" xfId="0" applyFont="1" applyFill="1" applyBorder="1"/>
    <xf numFmtId="0" fontId="5" fillId="4" borderId="16" xfId="0" applyFont="1" applyFill="1" applyBorder="1"/>
    <xf numFmtId="0" fontId="6" fillId="4" borderId="0" xfId="0" applyFont="1" applyFill="1"/>
    <xf numFmtId="0" fontId="7" fillId="4" borderId="5" xfId="0" applyFont="1" applyFill="1" applyBorder="1"/>
    <xf numFmtId="0" fontId="5" fillId="4" borderId="0" xfId="0" applyFont="1" applyFill="1" applyAlignment="1">
      <alignment horizontal="center"/>
    </xf>
    <xf numFmtId="0" fontId="2" fillId="4" borderId="5" xfId="0" applyFont="1" applyFill="1" applyBorder="1"/>
    <xf numFmtId="0" fontId="7" fillId="4" borderId="0" xfId="0" applyFont="1" applyFill="1"/>
    <xf numFmtId="0" fontId="0" fillId="4" borderId="0" xfId="0" applyFont="1" applyFill="1"/>
    <xf numFmtId="0" fontId="9" fillId="4" borderId="0" xfId="0" applyFont="1" applyFill="1" applyBorder="1"/>
    <xf numFmtId="0" fontId="7" fillId="4" borderId="22" xfId="0" applyFont="1" applyFill="1" applyBorder="1"/>
    <xf numFmtId="0" fontId="7" fillId="4" borderId="11" xfId="0" applyFont="1" applyFill="1" applyBorder="1"/>
    <xf numFmtId="0" fontId="7" fillId="4" borderId="12" xfId="0" applyFont="1" applyFill="1" applyBorder="1"/>
    <xf numFmtId="0" fontId="7" fillId="4" borderId="20" xfId="0" applyFont="1" applyFill="1" applyBorder="1"/>
    <xf numFmtId="0" fontId="7" fillId="4" borderId="9" xfId="0" applyFont="1" applyFill="1" applyBorder="1"/>
    <xf numFmtId="0" fontId="13" fillId="3" borderId="0" xfId="0" applyFont="1" applyFill="1" applyBorder="1"/>
    <xf numFmtId="0" fontId="13" fillId="3" borderId="5" xfId="0" applyFont="1" applyFill="1" applyBorder="1"/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0" borderId="0" xfId="0" quotePrefix="1"/>
    <xf numFmtId="0" fontId="14" fillId="4" borderId="0" xfId="0" applyFont="1" applyFill="1" applyBorder="1" applyAlignment="1">
      <alignment horizontal="left"/>
    </xf>
    <xf numFmtId="0" fontId="7" fillId="4" borderId="0" xfId="0" applyFont="1" applyFill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4" xfId="0" applyFont="1" applyFill="1" applyBorder="1" applyAlignment="1">
      <alignment horizontal="left"/>
    </xf>
    <xf numFmtId="167" fontId="0" fillId="4" borderId="0" xfId="0" applyNumberFormat="1" applyFont="1" applyFill="1"/>
    <xf numFmtId="0" fontId="0" fillId="4" borderId="11" xfId="0" applyFill="1" applyBorder="1"/>
    <xf numFmtId="0" fontId="0" fillId="4" borderId="12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22" xfId="0" applyFill="1" applyBorder="1"/>
    <xf numFmtId="0" fontId="4" fillId="4" borderId="5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14" fontId="8" fillId="4" borderId="0" xfId="0" applyNumberFormat="1" applyFont="1" applyFill="1"/>
    <xf numFmtId="0" fontId="8" fillId="4" borderId="0" xfId="0" applyFont="1" applyFill="1"/>
    <xf numFmtId="0" fontId="7" fillId="4" borderId="11" xfId="0" applyFont="1" applyFill="1" applyBorder="1" applyAlignment="1">
      <alignment horizontal="left"/>
    </xf>
    <xf numFmtId="0" fontId="7" fillId="4" borderId="12" xfId="0" applyFont="1" applyFill="1" applyBorder="1" applyAlignment="1">
      <alignment horizontal="left"/>
    </xf>
    <xf numFmtId="0" fontId="4" fillId="4" borderId="19" xfId="0" applyFont="1" applyFill="1" applyBorder="1"/>
    <xf numFmtId="0" fontId="4" fillId="4" borderId="19" xfId="0" applyFont="1" applyFill="1" applyBorder="1" applyAlignment="1">
      <alignment horizontal="left"/>
    </xf>
    <xf numFmtId="166" fontId="5" fillId="4" borderId="11" xfId="0" applyNumberFormat="1" applyFont="1" applyFill="1" applyBorder="1"/>
    <xf numFmtId="21" fontId="5" fillId="4" borderId="11" xfId="0" applyNumberFormat="1" applyFont="1" applyFill="1" applyBorder="1" applyAlignment="1">
      <alignment horizontal="left"/>
    </xf>
    <xf numFmtId="0" fontId="4" fillId="4" borderId="12" xfId="0" applyFont="1" applyFill="1" applyBorder="1"/>
    <xf numFmtId="0" fontId="0" fillId="4" borderId="35" xfId="0" applyFill="1" applyBorder="1"/>
    <xf numFmtId="0" fontId="0" fillId="4" borderId="36" xfId="0" applyFill="1" applyBorder="1"/>
    <xf numFmtId="0" fontId="7" fillId="4" borderId="35" xfId="0" applyFont="1" applyFill="1" applyBorder="1"/>
    <xf numFmtId="0" fontId="7" fillId="4" borderId="42" xfId="0" applyFont="1" applyFill="1" applyBorder="1"/>
    <xf numFmtId="0" fontId="7" fillId="4" borderId="45" xfId="0" applyFont="1" applyFill="1" applyBorder="1"/>
    <xf numFmtId="0" fontId="7" fillId="4" borderId="37" xfId="0" applyFont="1" applyFill="1" applyBorder="1"/>
    <xf numFmtId="0" fontId="13" fillId="4" borderId="0" xfId="0" applyFont="1" applyFill="1"/>
    <xf numFmtId="0" fontId="0" fillId="4" borderId="28" xfId="0" applyFill="1" applyBorder="1"/>
    <xf numFmtId="0" fontId="7" fillId="4" borderId="28" xfId="0" applyFont="1" applyFill="1" applyBorder="1"/>
    <xf numFmtId="2" fontId="0" fillId="4" borderId="48" xfId="0" applyNumberFormat="1" applyFont="1" applyFill="1" applyBorder="1"/>
    <xf numFmtId="167" fontId="0" fillId="4" borderId="49" xfId="0" applyNumberFormat="1" applyFont="1" applyFill="1" applyBorder="1"/>
    <xf numFmtId="2" fontId="0" fillId="4" borderId="50" xfId="0" applyNumberFormat="1" applyFont="1" applyFill="1" applyBorder="1"/>
    <xf numFmtId="167" fontId="0" fillId="4" borderId="51" xfId="0" applyNumberFormat="1" applyFont="1" applyFill="1" applyBorder="1"/>
    <xf numFmtId="2" fontId="0" fillId="4" borderId="52" xfId="0" applyNumberFormat="1" applyFont="1" applyFill="1" applyBorder="1"/>
    <xf numFmtId="167" fontId="0" fillId="4" borderId="53" xfId="0" applyNumberFormat="1" applyFont="1" applyFill="1" applyBorder="1"/>
    <xf numFmtId="0" fontId="22" fillId="4" borderId="0" xfId="0" applyFont="1" applyFill="1" applyBorder="1" applyAlignment="1">
      <alignment vertical="center"/>
    </xf>
    <xf numFmtId="0" fontId="24" fillId="4" borderId="0" xfId="0" applyFont="1" applyFill="1" applyBorder="1" applyAlignment="1">
      <alignment vertical="center"/>
    </xf>
    <xf numFmtId="2" fontId="7" fillId="4" borderId="17" xfId="0" applyNumberFormat="1" applyFont="1" applyFill="1" applyBorder="1"/>
    <xf numFmtId="2" fontId="7" fillId="4" borderId="18" xfId="0" applyNumberFormat="1" applyFont="1" applyFill="1" applyBorder="1"/>
    <xf numFmtId="2" fontId="7" fillId="4" borderId="10" xfId="0" applyNumberFormat="1" applyFont="1" applyFill="1" applyBorder="1"/>
    <xf numFmtId="2" fontId="0" fillId="4" borderId="34" xfId="0" applyNumberFormat="1" applyFont="1" applyFill="1" applyBorder="1"/>
    <xf numFmtId="167" fontId="0" fillId="4" borderId="38" xfId="0" applyNumberFormat="1" applyFont="1" applyFill="1" applyBorder="1"/>
    <xf numFmtId="2" fontId="0" fillId="4" borderId="27" xfId="0" applyNumberFormat="1" applyFont="1" applyFill="1" applyBorder="1"/>
    <xf numFmtId="167" fontId="0" fillId="4" borderId="28" xfId="0" applyNumberFormat="1" applyFont="1" applyFill="1" applyBorder="1"/>
    <xf numFmtId="2" fontId="0" fillId="4" borderId="29" xfId="0" applyNumberFormat="1" applyFont="1" applyFill="1" applyBorder="1"/>
    <xf numFmtId="167" fontId="0" fillId="4" borderId="37" xfId="0" applyNumberFormat="1" applyFont="1" applyFill="1" applyBorder="1"/>
    <xf numFmtId="0" fontId="16" fillId="4" borderId="0" xfId="0" applyFont="1" applyFill="1" applyBorder="1" applyAlignment="1"/>
    <xf numFmtId="0" fontId="7" fillId="4" borderId="0" xfId="0" applyFont="1" applyFill="1" applyBorder="1" applyAlignment="1">
      <alignment vertical="top"/>
    </xf>
    <xf numFmtId="0" fontId="0" fillId="6" borderId="21" xfId="0" applyFill="1" applyBorder="1"/>
    <xf numFmtId="0" fontId="7" fillId="4" borderId="19" xfId="0" applyFont="1" applyFill="1" applyBorder="1"/>
    <xf numFmtId="0" fontId="0" fillId="4" borderId="19" xfId="0" applyFill="1" applyBorder="1"/>
    <xf numFmtId="0" fontId="0" fillId="4" borderId="56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7" fillId="4" borderId="0" xfId="0" applyFont="1" applyFill="1" applyBorder="1"/>
    <xf numFmtId="0" fontId="19" fillId="4" borderId="0" xfId="0" applyFont="1" applyFill="1" applyBorder="1"/>
    <xf numFmtId="0" fontId="10" fillId="4" borderId="0" xfId="0" applyFont="1" applyFill="1" applyBorder="1"/>
    <xf numFmtId="0" fontId="10" fillId="4" borderId="5" xfId="0" applyFont="1" applyFill="1" applyBorder="1"/>
    <xf numFmtId="0" fontId="7" fillId="4" borderId="21" xfId="0" applyFont="1" applyFill="1" applyBorder="1" applyAlignment="1">
      <alignment horizontal="left"/>
    </xf>
    <xf numFmtId="0" fontId="7" fillId="4" borderId="21" xfId="0" applyFont="1" applyFill="1" applyBorder="1" applyAlignment="1">
      <alignment horizontal="right"/>
    </xf>
    <xf numFmtId="0" fontId="7" fillId="4" borderId="22" xfId="0" applyFont="1" applyFill="1" applyBorder="1" applyAlignment="1">
      <alignment horizontal="right"/>
    </xf>
    <xf numFmtId="0" fontId="19" fillId="4" borderId="54" xfId="0" applyFont="1" applyFill="1" applyBorder="1"/>
    <xf numFmtId="0" fontId="10" fillId="4" borderId="32" xfId="0" applyFont="1" applyFill="1" applyBorder="1"/>
    <xf numFmtId="0" fontId="7" fillId="4" borderId="26" xfId="0" applyFont="1" applyFill="1" applyBorder="1"/>
    <xf numFmtId="0" fontId="24" fillId="4" borderId="5" xfId="0" applyFont="1" applyFill="1" applyBorder="1" applyAlignment="1">
      <alignment vertical="center"/>
    </xf>
    <xf numFmtId="0" fontId="22" fillId="4" borderId="5" xfId="0" applyFont="1" applyFill="1" applyBorder="1" applyAlignment="1">
      <alignment vertical="center"/>
    </xf>
    <xf numFmtId="0" fontId="23" fillId="4" borderId="11" xfId="0" applyFont="1" applyFill="1" applyBorder="1" applyAlignment="1"/>
    <xf numFmtId="0" fontId="23" fillId="4" borderId="12" xfId="0" applyFont="1" applyFill="1" applyBorder="1" applyAlignment="1"/>
    <xf numFmtId="0" fontId="7" fillId="7" borderId="20" xfId="0" applyFont="1" applyFill="1" applyBorder="1" applyAlignment="1"/>
    <xf numFmtId="0" fontId="0" fillId="7" borderId="19" xfId="0" applyFill="1" applyBorder="1"/>
    <xf numFmtId="0" fontId="0" fillId="7" borderId="0" xfId="0" applyFill="1" applyBorder="1"/>
    <xf numFmtId="0" fontId="19" fillId="4" borderId="58" xfId="0" applyFont="1" applyFill="1" applyBorder="1"/>
    <xf numFmtId="2" fontId="28" fillId="7" borderId="21" xfId="0" applyNumberFormat="1" applyFont="1" applyFill="1" applyBorder="1" applyAlignment="1"/>
    <xf numFmtId="2" fontId="19" fillId="7" borderId="0" xfId="0" applyNumberFormat="1" applyFont="1" applyFill="1" applyBorder="1" applyAlignment="1"/>
    <xf numFmtId="0" fontId="7" fillId="7" borderId="0" xfId="0" applyFont="1" applyFill="1" applyBorder="1" applyAlignment="1"/>
    <xf numFmtId="2" fontId="19" fillId="7" borderId="22" xfId="0" applyNumberFormat="1" applyFont="1" applyFill="1" applyBorder="1" applyAlignment="1"/>
    <xf numFmtId="2" fontId="11" fillId="7" borderId="22" xfId="0" applyNumberFormat="1" applyFont="1" applyFill="1" applyBorder="1" applyAlignment="1"/>
    <xf numFmtId="2" fontId="9" fillId="7" borderId="21" xfId="0" applyNumberFormat="1" applyFont="1" applyFill="1" applyBorder="1" applyAlignment="1"/>
    <xf numFmtId="0" fontId="6" fillId="4" borderId="0" xfId="0" applyFont="1" applyFill="1" applyBorder="1"/>
    <xf numFmtId="2" fontId="11" fillId="4" borderId="28" xfId="0" applyNumberFormat="1" applyFont="1" applyFill="1" applyBorder="1"/>
    <xf numFmtId="2" fontId="31" fillId="4" borderId="28" xfId="0" applyNumberFormat="1" applyFont="1" applyFill="1" applyBorder="1"/>
    <xf numFmtId="2" fontId="3" fillId="4" borderId="28" xfId="0" applyNumberFormat="1" applyFont="1" applyFill="1" applyBorder="1"/>
    <xf numFmtId="0" fontId="7" fillId="7" borderId="19" xfId="0" applyFont="1" applyFill="1" applyBorder="1" applyAlignment="1"/>
    <xf numFmtId="2" fontId="18" fillId="7" borderId="5" xfId="0" applyNumberFormat="1" applyFont="1" applyFill="1" applyBorder="1" applyAlignment="1"/>
    <xf numFmtId="0" fontId="19" fillId="4" borderId="0" xfId="0" applyFont="1" applyFill="1" applyBorder="1" applyAlignment="1"/>
    <xf numFmtId="0" fontId="7" fillId="7" borderId="21" xfId="0" applyFont="1" applyFill="1" applyBorder="1" applyAlignment="1"/>
    <xf numFmtId="0" fontId="7" fillId="7" borderId="19" xfId="0" applyFont="1" applyFill="1" applyBorder="1"/>
    <xf numFmtId="2" fontId="11" fillId="7" borderId="28" xfId="0" applyNumberFormat="1" applyFont="1" applyFill="1" applyBorder="1"/>
    <xf numFmtId="0" fontId="11" fillId="7" borderId="28" xfId="0" applyFont="1" applyFill="1" applyBorder="1"/>
    <xf numFmtId="0" fontId="18" fillId="7" borderId="28" xfId="0" applyFont="1" applyFill="1" applyBorder="1"/>
    <xf numFmtId="0" fontId="7" fillId="7" borderId="28" xfId="0" applyFont="1" applyFill="1" applyBorder="1"/>
    <xf numFmtId="2" fontId="31" fillId="7" borderId="28" xfId="0" applyNumberFormat="1" applyFont="1" applyFill="1" applyBorder="1"/>
    <xf numFmtId="0" fontId="1" fillId="3" borderId="0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center"/>
    </xf>
    <xf numFmtId="0" fontId="0" fillId="3" borderId="0" xfId="0" applyFill="1"/>
    <xf numFmtId="0" fontId="0" fillId="3" borderId="0" xfId="0" applyFill="1" applyBorder="1"/>
    <xf numFmtId="1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2" fontId="0" fillId="3" borderId="0" xfId="0" applyNumberFormat="1" applyFill="1" applyBorder="1" applyAlignment="1">
      <alignment horizontal="right"/>
    </xf>
    <xf numFmtId="0" fontId="0" fillId="3" borderId="0" xfId="0" applyFont="1" applyFill="1" applyBorder="1"/>
    <xf numFmtId="166" fontId="0" fillId="3" borderId="0" xfId="0" applyNumberFormat="1" applyFill="1" applyBorder="1"/>
    <xf numFmtId="0" fontId="17" fillId="7" borderId="34" xfId="0" applyFont="1" applyFill="1" applyBorder="1" applyAlignment="1">
      <alignment horizontal="center" vertical="center"/>
    </xf>
    <xf numFmtId="0" fontId="17" fillId="7" borderId="35" xfId="0" applyFont="1" applyFill="1" applyBorder="1" applyAlignment="1">
      <alignment horizontal="center" vertical="center"/>
    </xf>
    <xf numFmtId="0" fontId="17" fillId="7" borderId="38" xfId="0" applyFont="1" applyFill="1" applyBorder="1" applyAlignment="1">
      <alignment horizontal="center" vertical="center"/>
    </xf>
    <xf numFmtId="0" fontId="17" fillId="7" borderId="27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0" fontId="17" fillId="7" borderId="28" xfId="0" applyFont="1" applyFill="1" applyBorder="1" applyAlignment="1">
      <alignment horizontal="center" vertical="center"/>
    </xf>
    <xf numFmtId="0" fontId="17" fillId="7" borderId="29" xfId="0" applyFont="1" applyFill="1" applyBorder="1" applyAlignment="1">
      <alignment horizontal="center" vertical="center"/>
    </xf>
    <xf numFmtId="0" fontId="17" fillId="7" borderId="30" xfId="0" applyFont="1" applyFill="1" applyBorder="1" applyAlignment="1">
      <alignment horizontal="center" vertical="center"/>
    </xf>
    <xf numFmtId="0" fontId="17" fillId="7" borderId="37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left"/>
    </xf>
    <xf numFmtId="0" fontId="3" fillId="4" borderId="21" xfId="0" applyFont="1" applyFill="1" applyBorder="1" applyAlignment="1">
      <alignment horizontal="left"/>
    </xf>
    <xf numFmtId="0" fontId="3" fillId="4" borderId="22" xfId="0" applyFont="1" applyFill="1" applyBorder="1" applyAlignment="1">
      <alignment horizontal="left"/>
    </xf>
    <xf numFmtId="0" fontId="3" fillId="4" borderId="15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2" fontId="4" fillId="4" borderId="14" xfId="0" applyNumberFormat="1" applyFont="1" applyFill="1" applyBorder="1" applyAlignment="1">
      <alignment horizontal="center"/>
    </xf>
    <xf numFmtId="2" fontId="4" fillId="4" borderId="15" xfId="0" applyNumberFormat="1" applyFont="1" applyFill="1" applyBorder="1" applyAlignment="1">
      <alignment horizontal="center"/>
    </xf>
    <xf numFmtId="2" fontId="4" fillId="4" borderId="16" xfId="0" applyNumberFormat="1" applyFont="1" applyFill="1" applyBorder="1" applyAlignment="1">
      <alignment horizontal="center"/>
    </xf>
    <xf numFmtId="165" fontId="12" fillId="5" borderId="18" xfId="0" applyNumberFormat="1" applyFont="1" applyFill="1" applyBorder="1" applyAlignment="1">
      <alignment horizontal="center" vertical="center"/>
    </xf>
    <xf numFmtId="165" fontId="12" fillId="5" borderId="10" xfId="0" applyNumberFormat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7" fillId="4" borderId="34" xfId="0" applyFont="1" applyFill="1" applyBorder="1" applyAlignment="1">
      <alignment horizontal="center"/>
    </xf>
    <xf numFmtId="0" fontId="7" fillId="4" borderId="39" xfId="0" applyFont="1" applyFill="1" applyBorder="1" applyAlignment="1">
      <alignment horizontal="center"/>
    </xf>
    <xf numFmtId="0" fontId="7" fillId="4" borderId="40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3" xfId="0" applyFont="1" applyFill="1" applyBorder="1" applyAlignment="1">
      <alignment horizontal="center"/>
    </xf>
    <xf numFmtId="0" fontId="7" fillId="4" borderId="44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21" fillId="4" borderId="19" xfId="0" applyFont="1" applyFill="1" applyBorder="1" applyAlignment="1">
      <alignment horizontal="center" vertical="center"/>
    </xf>
    <xf numFmtId="0" fontId="21" fillId="4" borderId="0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17" fillId="7" borderId="19" xfId="0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6" xfId="0" applyFont="1" applyFill="1" applyBorder="1" applyAlignment="1">
      <alignment horizontal="center" vertical="center"/>
    </xf>
    <xf numFmtId="0" fontId="7" fillId="7" borderId="33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left" vertical="center"/>
    </xf>
    <xf numFmtId="0" fontId="7" fillId="7" borderId="31" xfId="0" applyFont="1" applyFill="1" applyBorder="1" applyAlignment="1">
      <alignment horizontal="left" vertical="center"/>
    </xf>
    <xf numFmtId="0" fontId="7" fillId="7" borderId="11" xfId="0" applyFont="1" applyFill="1" applyBorder="1" applyAlignment="1">
      <alignment horizontal="left" vertical="center"/>
    </xf>
    <xf numFmtId="0" fontId="15" fillId="8" borderId="21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left" vertical="center"/>
    </xf>
    <xf numFmtId="0" fontId="7" fillId="7" borderId="27" xfId="0" applyFont="1" applyFill="1" applyBorder="1" applyAlignment="1">
      <alignment horizontal="left" vertical="center"/>
    </xf>
    <xf numFmtId="0" fontId="7" fillId="7" borderId="0" xfId="0" applyFont="1" applyFill="1" applyBorder="1" applyAlignment="1">
      <alignment horizontal="left" vertical="center"/>
    </xf>
    <xf numFmtId="0" fontId="7" fillId="7" borderId="34" xfId="0" applyFont="1" applyFill="1" applyBorder="1" applyAlignment="1">
      <alignment horizontal="left" vertical="center"/>
    </xf>
    <xf numFmtId="0" fontId="7" fillId="7" borderId="35" xfId="0" applyFont="1" applyFill="1" applyBorder="1" applyAlignment="1">
      <alignment horizontal="left" vertical="center"/>
    </xf>
    <xf numFmtId="0" fontId="7" fillId="7" borderId="36" xfId="0" applyFont="1" applyFill="1" applyBorder="1" applyAlignment="1">
      <alignment horizontal="left" vertical="center"/>
    </xf>
    <xf numFmtId="0" fontId="7" fillId="7" borderId="12" xfId="0" applyFont="1" applyFill="1" applyBorder="1" applyAlignment="1">
      <alignment horizontal="left" vertical="center"/>
    </xf>
    <xf numFmtId="0" fontId="27" fillId="3" borderId="14" xfId="0" applyFont="1" applyFill="1" applyBorder="1" applyAlignment="1">
      <alignment horizontal="center"/>
    </xf>
    <xf numFmtId="0" fontId="27" fillId="3" borderId="15" xfId="0" applyFont="1" applyFill="1" applyBorder="1" applyAlignment="1">
      <alignment horizontal="center"/>
    </xf>
    <xf numFmtId="0" fontId="27" fillId="3" borderId="57" xfId="0" applyFont="1" applyFill="1" applyBorder="1" applyAlignment="1">
      <alignment horizontal="center"/>
    </xf>
    <xf numFmtId="0" fontId="29" fillId="9" borderId="55" xfId="0" applyFont="1" applyFill="1" applyBorder="1" applyAlignment="1">
      <alignment horizontal="center" vertical="center"/>
    </xf>
    <xf numFmtId="0" fontId="30" fillId="9" borderId="35" xfId="0" applyFont="1" applyFill="1" applyBorder="1" applyAlignment="1">
      <alignment horizontal="center" vertical="center"/>
    </xf>
    <xf numFmtId="0" fontId="30" fillId="9" borderId="19" xfId="0" applyFont="1" applyFill="1" applyBorder="1" applyAlignment="1">
      <alignment horizontal="center" vertical="center"/>
    </xf>
    <xf numFmtId="0" fontId="30" fillId="9" borderId="0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1" xfId="0" applyFont="1" applyFill="1" applyBorder="1" applyAlignment="1">
      <alignment horizontal="center"/>
    </xf>
    <xf numFmtId="14" fontId="0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33"/>
      <color rgb="FFC00000"/>
      <color rgb="FF006600"/>
      <color rgb="FF929292"/>
      <color rgb="FF3E4D1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4"/>
              <c:pt idx="0">
                <c:v>Starting Balance</c:v>
              </c:pt>
              <c:pt idx="1">
                <c:v>Current Balance</c:v>
              </c:pt>
              <c:pt idx="2">
                <c:v>Surplus/Defecit</c:v>
              </c:pt>
              <c:pt idx="3">
                <c:v>After planned incomes</c:v>
              </c:pt>
            </c:strLit>
          </c:cat>
          <c:val>
            <c:numRef>
              <c:f>(MBS!$C$1,MBS!$C$2,MBS!$F$1,MBS!$F$2)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06720"/>
        <c:axId val="79033088"/>
      </c:barChart>
      <c:catAx>
        <c:axId val="790067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79033088"/>
        <c:crosses val="autoZero"/>
        <c:auto val="1"/>
        <c:lblAlgn val="ctr"/>
        <c:lblOffset val="100"/>
        <c:noMultiLvlLbl val="0"/>
      </c:catAx>
      <c:valAx>
        <c:axId val="79033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790067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(MBS!$A$12,MBS!$A$13,MBS!$A$14,MBS!$A$15)</c:f>
              <c:strCache>
                <c:ptCount val="4"/>
                <c:pt idx="0">
                  <c:v>Expense 1</c:v>
                </c:pt>
                <c:pt idx="1">
                  <c:v>Expense 2</c:v>
                </c:pt>
                <c:pt idx="2">
                  <c:v>Expense 3</c:v>
                </c:pt>
                <c:pt idx="3">
                  <c:v>Expense 4</c:v>
                </c:pt>
              </c:strCache>
            </c:strRef>
          </c:cat>
          <c:val>
            <c:numRef>
              <c:f>(MBS!$C$12,MBS!$C$13,MBS!$C$14,MBS!$C$15)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(MBS!$A$12,MBS!$A$13,MBS!$A$14,MBS!$A$15)</c:f>
              <c:strCache>
                <c:ptCount val="4"/>
                <c:pt idx="0">
                  <c:v>Expense 1</c:v>
                </c:pt>
                <c:pt idx="1">
                  <c:v>Expense 2</c:v>
                </c:pt>
                <c:pt idx="2">
                  <c:v>Expense 3</c:v>
                </c:pt>
                <c:pt idx="3">
                  <c:v>Expense 4</c:v>
                </c:pt>
              </c:strCache>
            </c:strRef>
          </c:cat>
          <c:val>
            <c:numRef>
              <c:f>(MBS!$B$12,MBS!$B$13,MBS!$B$14,MBS!$B$17)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691392"/>
        <c:axId val="81692928"/>
      </c:barChart>
      <c:catAx>
        <c:axId val="8169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1"/>
                </a:solidFill>
              </a:defRPr>
            </a:pPr>
            <a:endParaRPr lang="en-US"/>
          </a:p>
        </c:txPr>
        <c:crossAx val="81692928"/>
        <c:crosses val="autoZero"/>
        <c:auto val="1"/>
        <c:lblAlgn val="ctr"/>
        <c:lblOffset val="100"/>
        <c:noMultiLvlLbl val="0"/>
      </c:catAx>
      <c:valAx>
        <c:axId val="816929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16913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(MBS!$D$12,MBS!$D$13,MBS!$D$14,MBS!$D$15)</c:f>
              <c:strCache>
                <c:ptCount val="4"/>
                <c:pt idx="0">
                  <c:v>Balance b/d</c:v>
                </c:pt>
                <c:pt idx="1">
                  <c:v>Income 2</c:v>
                </c:pt>
                <c:pt idx="2">
                  <c:v>Income 3</c:v>
                </c:pt>
                <c:pt idx="3">
                  <c:v>Income 4</c:v>
                </c:pt>
              </c:strCache>
            </c:strRef>
          </c:cat>
          <c:val>
            <c:numRef>
              <c:f>(MBS!$F$12,MBS!$F$13,MBS!$F$14,MBS!$F$15)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(MBS!$D$12,MBS!$D$13,MBS!$D$14,MBS!$D$15)</c:f>
              <c:strCache>
                <c:ptCount val="4"/>
                <c:pt idx="0">
                  <c:v>Balance b/d</c:v>
                </c:pt>
                <c:pt idx="1">
                  <c:v>Income 2</c:v>
                </c:pt>
                <c:pt idx="2">
                  <c:v>Income 3</c:v>
                </c:pt>
                <c:pt idx="3">
                  <c:v>Income 4</c:v>
                </c:pt>
              </c:strCache>
            </c:strRef>
          </c:cat>
          <c:val>
            <c:numRef>
              <c:f>(MBS!$E$12,MBS!$E$13,MBS!$E$14,MBS!$E$15)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709312"/>
        <c:axId val="81715200"/>
      </c:barChart>
      <c:catAx>
        <c:axId val="81709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1715200"/>
        <c:crosses val="autoZero"/>
        <c:auto val="1"/>
        <c:lblAlgn val="ctr"/>
        <c:lblOffset val="100"/>
        <c:noMultiLvlLbl val="0"/>
      </c:catAx>
      <c:valAx>
        <c:axId val="81715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70931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bg1"/>
                </a:solidFill>
              </a:defRPr>
            </a:pPr>
            <a:r>
              <a:rPr lang="en-US">
                <a:solidFill>
                  <a:schemeClr val="bg1"/>
                </a:solidFill>
              </a:rPr>
              <a:t>Progress Financial </a:t>
            </a:r>
            <a:r>
              <a:rPr lang="en-US">
                <a:solidFill>
                  <a:schemeClr val="tx2">
                    <a:lumMod val="40000"/>
                    <a:lumOff val="60000"/>
                  </a:schemeClr>
                </a:solidFill>
              </a:rPr>
              <a:t>Management </a:t>
            </a:r>
            <a:r>
              <a:rPr lang="en-US">
                <a:solidFill>
                  <a:schemeClr val="bg1"/>
                </a:solidFill>
              </a:rPr>
              <a:t>System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data</c:v>
          </c:tx>
          <c:invertIfNegative val="0"/>
          <c:dLbls>
            <c:dLbl>
              <c:idx val="1"/>
              <c:spPr/>
              <c:txPr>
                <a:bodyPr/>
                <a:lstStyle/>
                <a:p>
                  <a:pPr>
                    <a:defRPr>
                      <a:solidFill>
                        <a:schemeClr val="accent2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92D05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Dash!$I$5:$I$16</c:f>
              <c:strCache>
                <c:ptCount val="12"/>
                <c:pt idx="0">
                  <c:v>Current Balance</c:v>
                </c:pt>
                <c:pt idx="1">
                  <c:v>NF Incomes</c:v>
                </c:pt>
                <c:pt idx="2">
                  <c:v>Balance NF</c:v>
                </c:pt>
                <c:pt idx="4">
                  <c:v>Expediture NF </c:v>
                </c:pt>
                <c:pt idx="5">
                  <c:v>Savings NF</c:v>
                </c:pt>
                <c:pt idx="6">
                  <c:v>Accumulated Savings</c:v>
                </c:pt>
                <c:pt idx="11">
                  <c:v>Total Surplus inc. Savings</c:v>
                </c:pt>
              </c:strCache>
            </c:strRef>
          </c:cat>
          <c:val>
            <c:numRef>
              <c:f>Dash!$L$5:$L$16</c:f>
              <c:numCache>
                <c:formatCode>General</c:formatCode>
                <c:ptCount val="12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1" formatCode="0.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3162240"/>
        <c:axId val="83163776"/>
      </c:barChart>
      <c:catAx>
        <c:axId val="8316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3163776"/>
        <c:crosses val="autoZero"/>
        <c:auto val="1"/>
        <c:lblAlgn val="ctr"/>
        <c:lblOffset val="100"/>
        <c:noMultiLvlLbl val="0"/>
      </c:catAx>
      <c:valAx>
        <c:axId val="83163776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316224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20</xdr:row>
      <xdr:rowOff>47624</xdr:rowOff>
    </xdr:from>
    <xdr:to>
      <xdr:col>14</xdr:col>
      <xdr:colOff>190500</xdr:colOff>
      <xdr:row>26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38099</xdr:colOff>
      <xdr:row>0</xdr:row>
      <xdr:rowOff>0</xdr:rowOff>
    </xdr:from>
    <xdr:to>
      <xdr:col>14</xdr:col>
      <xdr:colOff>200024</xdr:colOff>
      <xdr:row>20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323852</xdr:colOff>
      <xdr:row>0</xdr:row>
      <xdr:rowOff>57151</xdr:rowOff>
    </xdr:from>
    <xdr:to>
      <xdr:col>16</xdr:col>
      <xdr:colOff>428625</xdr:colOff>
      <xdr:row>26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3</xdr:row>
      <xdr:rowOff>14377</xdr:rowOff>
    </xdr:from>
    <xdr:to>
      <xdr:col>4</xdr:col>
      <xdr:colOff>602116</xdr:colOff>
      <xdr:row>4</xdr:row>
      <xdr:rowOff>179294</xdr:rowOff>
    </xdr:to>
    <xdr:sp macro="[0]!EM" textlink="">
      <xdr:nvSpPr>
        <xdr:cNvPr id="2" name="Rectangle 1"/>
        <xdr:cNvSpPr/>
      </xdr:nvSpPr>
      <xdr:spPr>
        <a:xfrm>
          <a:off x="2454728" y="585877"/>
          <a:ext cx="1191986" cy="355417"/>
        </a:xfrm>
        <a:prstGeom prst="rect">
          <a:avLst/>
        </a:prstGeom>
        <a:solidFill>
          <a:schemeClr val="bg1"/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5</xdr:row>
      <xdr:rowOff>1</xdr:rowOff>
    </xdr:from>
    <xdr:to>
      <xdr:col>4</xdr:col>
      <xdr:colOff>602116</xdr:colOff>
      <xdr:row>6</xdr:row>
      <xdr:rowOff>179295</xdr:rowOff>
    </xdr:to>
    <xdr:sp macro="[0]!viewaexpenses" textlink="">
      <xdr:nvSpPr>
        <xdr:cNvPr id="4" name="Rectangle 3"/>
        <xdr:cNvSpPr/>
      </xdr:nvSpPr>
      <xdr:spPr>
        <a:xfrm>
          <a:off x="2454728" y="952501"/>
          <a:ext cx="1191986" cy="369794"/>
        </a:xfrm>
        <a:prstGeom prst="rect">
          <a:avLst/>
        </a:prstGeom>
        <a:solidFill>
          <a:schemeClr val="accent3"/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9</xdr:row>
      <xdr:rowOff>1</xdr:rowOff>
    </xdr:from>
    <xdr:to>
      <xdr:col>4</xdr:col>
      <xdr:colOff>602116</xdr:colOff>
      <xdr:row>10</xdr:row>
      <xdr:rowOff>179295</xdr:rowOff>
    </xdr:to>
    <xdr:sp macro="[0]!EM" textlink="">
      <xdr:nvSpPr>
        <xdr:cNvPr id="5" name="Rectangle 4"/>
        <xdr:cNvSpPr/>
      </xdr:nvSpPr>
      <xdr:spPr>
        <a:xfrm>
          <a:off x="1847849" y="952501"/>
          <a:ext cx="1192667" cy="369794"/>
        </a:xfrm>
        <a:prstGeom prst="rect">
          <a:avLst/>
        </a:prstGeom>
        <a:solidFill>
          <a:schemeClr val="bg1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11</xdr:row>
      <xdr:rowOff>1</xdr:rowOff>
    </xdr:from>
    <xdr:to>
      <xdr:col>4</xdr:col>
      <xdr:colOff>602116</xdr:colOff>
      <xdr:row>12</xdr:row>
      <xdr:rowOff>179295</xdr:rowOff>
    </xdr:to>
    <xdr:sp macro="[0]!EM" textlink="">
      <xdr:nvSpPr>
        <xdr:cNvPr id="6" name="Rectangle 5"/>
        <xdr:cNvSpPr/>
      </xdr:nvSpPr>
      <xdr:spPr>
        <a:xfrm>
          <a:off x="1847849" y="1333501"/>
          <a:ext cx="1192667" cy="369794"/>
        </a:xfrm>
        <a:prstGeom prst="rect">
          <a:avLst/>
        </a:prstGeom>
        <a:solidFill>
          <a:schemeClr val="accent3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85725</xdr:colOff>
      <xdr:row>3</xdr:row>
      <xdr:rowOff>76201</xdr:rowOff>
    </xdr:from>
    <xdr:to>
      <xdr:col>18</xdr:col>
      <xdr:colOff>180975</xdr:colOff>
      <xdr:row>25</xdr:row>
      <xdr:rowOff>190501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19049</xdr:colOff>
      <xdr:row>13</xdr:row>
      <xdr:rowOff>1</xdr:rowOff>
    </xdr:from>
    <xdr:to>
      <xdr:col>4</xdr:col>
      <xdr:colOff>602116</xdr:colOff>
      <xdr:row>14</xdr:row>
      <xdr:rowOff>179295</xdr:rowOff>
    </xdr:to>
    <xdr:sp macro="[0]!SpendPattern" textlink="">
      <xdr:nvSpPr>
        <xdr:cNvPr id="7" name="Rectangle 6"/>
        <xdr:cNvSpPr/>
      </xdr:nvSpPr>
      <xdr:spPr>
        <a:xfrm>
          <a:off x="1847849" y="1714501"/>
          <a:ext cx="1192667" cy="369794"/>
        </a:xfrm>
        <a:prstGeom prst="rect">
          <a:avLst/>
        </a:prstGeom>
        <a:solidFill>
          <a:schemeClr val="accent5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7</xdr:row>
      <xdr:rowOff>1</xdr:rowOff>
    </xdr:from>
    <xdr:to>
      <xdr:col>4</xdr:col>
      <xdr:colOff>602116</xdr:colOff>
      <xdr:row>8</xdr:row>
      <xdr:rowOff>179295</xdr:rowOff>
    </xdr:to>
    <xdr:sp macro="[0]!vieweincomes" textlink="">
      <xdr:nvSpPr>
        <xdr:cNvPr id="8" name="Rectangle 7"/>
        <xdr:cNvSpPr/>
      </xdr:nvSpPr>
      <xdr:spPr>
        <a:xfrm>
          <a:off x="1847849" y="962026"/>
          <a:ext cx="1192667" cy="369794"/>
        </a:xfrm>
        <a:prstGeom prst="rect">
          <a:avLst/>
        </a:prstGeom>
        <a:solidFill>
          <a:schemeClr val="accent5"/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41"/>
  <sheetViews>
    <sheetView zoomScaleNormal="100" workbookViewId="0">
      <selection activeCell="A2" sqref="A2"/>
    </sheetView>
  </sheetViews>
  <sheetFormatPr defaultRowHeight="15" x14ac:dyDescent="0.25"/>
  <cols>
    <col min="1" max="1" width="12" style="156" customWidth="1"/>
    <col min="2" max="2" width="9.140625" style="156"/>
    <col min="3" max="3" width="39.140625" style="156" customWidth="1"/>
    <col min="4" max="16384" width="9.140625" style="156"/>
  </cols>
  <sheetData>
    <row r="1" spans="1:6" x14ac:dyDescent="0.25">
      <c r="A1" s="153" t="s">
        <v>0</v>
      </c>
      <c r="B1" s="153" t="s">
        <v>1</v>
      </c>
      <c r="C1" s="153"/>
      <c r="D1" s="154" t="s">
        <v>2</v>
      </c>
      <c r="E1" s="155" t="s">
        <v>3</v>
      </c>
      <c r="F1" s="153" t="s">
        <v>4</v>
      </c>
    </row>
    <row r="2" spans="1:6" x14ac:dyDescent="0.25">
      <c r="F2" s="156">
        <v>0</v>
      </c>
    </row>
    <row r="3" spans="1:6" x14ac:dyDescent="0.25">
      <c r="A3" s="232" t="s">
        <v>41</v>
      </c>
    </row>
    <row r="368" spans="2:6" x14ac:dyDescent="0.25">
      <c r="B368" s="157"/>
      <c r="C368" s="157"/>
      <c r="D368" s="157"/>
      <c r="E368" s="157"/>
      <c r="F368" s="157"/>
    </row>
    <row r="369" spans="1:6" x14ac:dyDescent="0.25">
      <c r="A369" s="158"/>
      <c r="B369" s="159"/>
      <c r="C369" s="159"/>
      <c r="D369" s="160"/>
      <c r="E369" s="160"/>
      <c r="F369" s="161"/>
    </row>
    <row r="370" spans="1:6" x14ac:dyDescent="0.25">
      <c r="A370" s="158"/>
      <c r="B370" s="159"/>
      <c r="C370" s="159"/>
      <c r="D370" s="160"/>
      <c r="E370" s="160"/>
      <c r="F370" s="161"/>
    </row>
    <row r="371" spans="1:6" x14ac:dyDescent="0.25">
      <c r="A371" s="157"/>
      <c r="B371" s="157"/>
      <c r="C371" s="157"/>
      <c r="D371" s="157"/>
      <c r="E371" s="157"/>
      <c r="F371" s="157"/>
    </row>
    <row r="372" spans="1:6" x14ac:dyDescent="0.25">
      <c r="A372" s="158"/>
      <c r="B372" s="159"/>
      <c r="C372" s="159"/>
      <c r="D372" s="160"/>
      <c r="E372" s="160"/>
      <c r="F372" s="161"/>
    </row>
    <row r="373" spans="1:6" x14ac:dyDescent="0.25">
      <c r="A373" s="158"/>
      <c r="B373" s="159"/>
      <c r="C373" s="159"/>
      <c r="D373" s="160"/>
      <c r="E373" s="160"/>
      <c r="F373" s="161"/>
    </row>
    <row r="374" spans="1:6" x14ac:dyDescent="0.25">
      <c r="A374" s="157"/>
      <c r="B374" s="157"/>
      <c r="C374" s="157"/>
      <c r="D374" s="157"/>
      <c r="E374" s="157"/>
      <c r="F374" s="157"/>
    </row>
    <row r="375" spans="1:6" x14ac:dyDescent="0.25">
      <c r="A375" s="158"/>
      <c r="B375" s="159"/>
      <c r="C375" s="159"/>
      <c r="D375" s="160"/>
      <c r="E375" s="160"/>
      <c r="F375" s="161"/>
    </row>
    <row r="376" spans="1:6" x14ac:dyDescent="0.25">
      <c r="A376" s="158"/>
      <c r="B376" s="159"/>
      <c r="C376" s="159"/>
      <c r="D376" s="160"/>
      <c r="E376" s="160"/>
      <c r="F376" s="161"/>
    </row>
    <row r="377" spans="1:6" x14ac:dyDescent="0.25">
      <c r="A377" s="157"/>
      <c r="B377" s="157"/>
      <c r="C377" s="157"/>
      <c r="D377" s="157"/>
      <c r="E377" s="157"/>
      <c r="F377" s="157"/>
    </row>
    <row r="378" spans="1:6" x14ac:dyDescent="0.25">
      <c r="A378" s="158"/>
      <c r="B378" s="159"/>
      <c r="C378" s="159"/>
      <c r="D378" s="160"/>
      <c r="E378" s="160"/>
      <c r="F378" s="161"/>
    </row>
    <row r="379" spans="1:6" x14ac:dyDescent="0.25">
      <c r="A379" s="158"/>
      <c r="B379" s="159"/>
      <c r="C379" s="159"/>
      <c r="D379" s="160"/>
      <c r="E379" s="160"/>
      <c r="F379" s="161"/>
    </row>
    <row r="380" spans="1:6" x14ac:dyDescent="0.25">
      <c r="A380" s="157"/>
      <c r="B380" s="157"/>
      <c r="C380" s="157"/>
      <c r="D380" s="157"/>
      <c r="E380" s="157"/>
      <c r="F380" s="157"/>
    </row>
    <row r="381" spans="1:6" x14ac:dyDescent="0.25">
      <c r="A381" s="158"/>
      <c r="B381" s="159"/>
      <c r="C381" s="159"/>
      <c r="D381" s="160"/>
      <c r="E381" s="160"/>
      <c r="F381" s="161"/>
    </row>
    <row r="382" spans="1:6" x14ac:dyDescent="0.25">
      <c r="A382" s="158"/>
      <c r="B382" s="159"/>
      <c r="C382" s="159"/>
      <c r="D382" s="160"/>
      <c r="E382" s="160"/>
      <c r="F382" s="161"/>
    </row>
    <row r="383" spans="1:6" x14ac:dyDescent="0.25">
      <c r="A383" s="157"/>
      <c r="B383" s="157"/>
      <c r="C383" s="157"/>
      <c r="D383" s="157"/>
      <c r="E383" s="157"/>
      <c r="F383" s="157"/>
    </row>
    <row r="384" spans="1:6" x14ac:dyDescent="0.25">
      <c r="A384" s="158"/>
      <c r="B384" s="159"/>
      <c r="C384" s="159"/>
      <c r="D384" s="160"/>
      <c r="E384" s="160"/>
      <c r="F384" s="161"/>
    </row>
    <row r="385" spans="1:6" x14ac:dyDescent="0.25">
      <c r="A385" s="157"/>
      <c r="B385" s="157"/>
      <c r="C385" s="157"/>
      <c r="D385" s="157"/>
      <c r="E385" s="157"/>
      <c r="F385" s="157"/>
    </row>
    <row r="386" spans="1:6" x14ac:dyDescent="0.25">
      <c r="A386" s="158"/>
      <c r="B386" s="159"/>
      <c r="C386" s="159"/>
      <c r="D386" s="160"/>
      <c r="E386" s="160"/>
      <c r="F386" s="161"/>
    </row>
    <row r="387" spans="1:6" x14ac:dyDescent="0.25">
      <c r="A387" s="158"/>
      <c r="B387" s="159"/>
      <c r="C387" s="159"/>
      <c r="D387" s="160"/>
      <c r="E387" s="160"/>
      <c r="F387" s="161"/>
    </row>
    <row r="388" spans="1:6" x14ac:dyDescent="0.25">
      <c r="A388" s="157"/>
      <c r="B388" s="157"/>
      <c r="C388" s="157"/>
      <c r="D388" s="157"/>
      <c r="E388" s="157"/>
      <c r="F388" s="157"/>
    </row>
    <row r="389" spans="1:6" x14ac:dyDescent="0.25">
      <c r="A389" s="158"/>
      <c r="B389" s="159"/>
      <c r="C389" s="159"/>
      <c r="D389" s="160"/>
      <c r="E389" s="160"/>
      <c r="F389" s="161"/>
    </row>
    <row r="390" spans="1:6" x14ac:dyDescent="0.25">
      <c r="A390" s="157"/>
      <c r="B390" s="157"/>
      <c r="C390" s="157"/>
      <c r="D390" s="157"/>
      <c r="E390" s="157"/>
      <c r="F390" s="157"/>
    </row>
    <row r="391" spans="1:6" x14ac:dyDescent="0.25">
      <c r="A391" s="158"/>
      <c r="B391" s="159"/>
      <c r="C391" s="159"/>
      <c r="D391" s="160"/>
      <c r="E391" s="160"/>
      <c r="F391" s="161"/>
    </row>
    <row r="392" spans="1:6" x14ac:dyDescent="0.25">
      <c r="A392" s="158"/>
      <c r="B392" s="159"/>
      <c r="C392" s="159"/>
      <c r="D392" s="160"/>
      <c r="E392" s="160"/>
      <c r="F392" s="161"/>
    </row>
    <row r="393" spans="1:6" x14ac:dyDescent="0.25">
      <c r="A393" s="157"/>
      <c r="B393" s="157"/>
      <c r="C393" s="157"/>
      <c r="D393" s="157"/>
      <c r="E393" s="157"/>
      <c r="F393" s="157"/>
    </row>
    <row r="394" spans="1:6" x14ac:dyDescent="0.25">
      <c r="A394" s="158"/>
      <c r="B394" s="159"/>
      <c r="C394" s="159"/>
      <c r="D394" s="160"/>
      <c r="E394" s="160"/>
      <c r="F394" s="161"/>
    </row>
    <row r="395" spans="1:6" x14ac:dyDescent="0.25">
      <c r="A395" s="157"/>
      <c r="B395" s="157"/>
      <c r="C395" s="157"/>
      <c r="D395" s="157"/>
      <c r="E395" s="157"/>
      <c r="F395" s="157"/>
    </row>
    <row r="396" spans="1:6" x14ac:dyDescent="0.25">
      <c r="A396" s="158"/>
      <c r="B396" s="159"/>
      <c r="C396" s="159"/>
      <c r="D396" s="160"/>
      <c r="E396" s="160"/>
      <c r="F396" s="161"/>
    </row>
    <row r="397" spans="1:6" x14ac:dyDescent="0.25">
      <c r="A397" s="157"/>
      <c r="B397" s="157"/>
      <c r="C397" s="157"/>
      <c r="D397" s="157"/>
      <c r="E397" s="157"/>
      <c r="F397" s="157"/>
    </row>
    <row r="398" spans="1:6" x14ac:dyDescent="0.25">
      <c r="A398" s="158"/>
      <c r="B398" s="159"/>
      <c r="C398" s="159"/>
      <c r="D398" s="160"/>
      <c r="E398" s="160"/>
      <c r="F398" s="161"/>
    </row>
    <row r="399" spans="1:6" x14ac:dyDescent="0.25">
      <c r="A399" s="158"/>
      <c r="B399" s="159"/>
      <c r="C399" s="159"/>
      <c r="D399" s="160"/>
      <c r="E399" s="160"/>
      <c r="F399" s="161"/>
    </row>
    <row r="400" spans="1:6" x14ac:dyDescent="0.25">
      <c r="A400" s="157"/>
      <c r="B400" s="157"/>
      <c r="C400" s="157"/>
      <c r="D400" s="157"/>
      <c r="E400" s="157"/>
      <c r="F400" s="157"/>
    </row>
    <row r="401" spans="1:6" x14ac:dyDescent="0.25">
      <c r="A401" s="158"/>
      <c r="B401" s="159"/>
      <c r="C401" s="159"/>
      <c r="D401" s="160"/>
      <c r="E401" s="160"/>
      <c r="F401" s="161"/>
    </row>
    <row r="402" spans="1:6" x14ac:dyDescent="0.25">
      <c r="A402" s="157"/>
      <c r="B402" s="157"/>
      <c r="C402" s="157"/>
      <c r="D402" s="157"/>
      <c r="E402" s="157"/>
      <c r="F402" s="157"/>
    </row>
    <row r="403" spans="1:6" x14ac:dyDescent="0.25">
      <c r="A403" s="158"/>
      <c r="B403" s="159"/>
      <c r="C403" s="159"/>
      <c r="D403" s="160"/>
      <c r="E403" s="160"/>
      <c r="F403" s="161"/>
    </row>
    <row r="404" spans="1:6" x14ac:dyDescent="0.25">
      <c r="A404" s="157"/>
      <c r="B404" s="157"/>
      <c r="C404" s="157"/>
      <c r="D404" s="157"/>
      <c r="E404" s="157"/>
      <c r="F404" s="157"/>
    </row>
    <row r="405" spans="1:6" x14ac:dyDescent="0.25">
      <c r="A405" s="158"/>
      <c r="B405" s="159"/>
      <c r="C405" s="159"/>
      <c r="D405" s="160"/>
      <c r="E405" s="160"/>
      <c r="F405" s="161"/>
    </row>
    <row r="406" spans="1:6" x14ac:dyDescent="0.25">
      <c r="A406" s="158"/>
      <c r="B406" s="159"/>
      <c r="C406" s="159"/>
      <c r="D406" s="160"/>
      <c r="E406" s="160"/>
      <c r="F406" s="161"/>
    </row>
    <row r="407" spans="1:6" x14ac:dyDescent="0.25">
      <c r="A407" s="158"/>
      <c r="B407" s="157"/>
      <c r="C407" s="157"/>
      <c r="D407" s="160"/>
      <c r="E407" s="160"/>
      <c r="F407" s="161"/>
    </row>
    <row r="408" spans="1:6" x14ac:dyDescent="0.25">
      <c r="A408" s="157"/>
      <c r="B408" s="157"/>
      <c r="C408" s="157"/>
      <c r="D408" s="157"/>
      <c r="E408" s="157"/>
      <c r="F408" s="157"/>
    </row>
    <row r="409" spans="1:6" x14ac:dyDescent="0.25">
      <c r="A409" s="158"/>
      <c r="B409" s="159"/>
      <c r="C409" s="159"/>
      <c r="D409" s="160"/>
      <c r="E409" s="160"/>
      <c r="F409" s="161"/>
    </row>
    <row r="410" spans="1:6" x14ac:dyDescent="0.25">
      <c r="A410" s="158"/>
      <c r="B410" s="159"/>
      <c r="C410" s="159"/>
      <c r="D410" s="160"/>
      <c r="E410" s="160"/>
      <c r="F410" s="161"/>
    </row>
    <row r="411" spans="1:6" x14ac:dyDescent="0.25">
      <c r="A411" s="157"/>
      <c r="B411" s="157"/>
      <c r="C411" s="157"/>
      <c r="D411" s="157"/>
      <c r="E411" s="157"/>
      <c r="F411" s="157"/>
    </row>
    <row r="412" spans="1:6" x14ac:dyDescent="0.25">
      <c r="A412" s="158"/>
      <c r="B412" s="159"/>
      <c r="C412" s="159"/>
      <c r="D412" s="160"/>
      <c r="E412" s="160"/>
      <c r="F412" s="161"/>
    </row>
    <row r="413" spans="1:6" x14ac:dyDescent="0.25">
      <c r="A413" s="157"/>
      <c r="B413" s="157"/>
      <c r="C413" s="157"/>
      <c r="D413" s="157"/>
      <c r="E413" s="157"/>
      <c r="F413" s="157"/>
    </row>
    <row r="414" spans="1:6" x14ac:dyDescent="0.25">
      <c r="A414" s="158"/>
      <c r="B414" s="159"/>
      <c r="C414" s="159"/>
      <c r="D414" s="160"/>
      <c r="E414" s="160"/>
      <c r="F414" s="161"/>
    </row>
    <row r="415" spans="1:6" x14ac:dyDescent="0.25">
      <c r="A415" s="157"/>
      <c r="B415" s="157"/>
      <c r="C415" s="157"/>
      <c r="D415" s="157"/>
      <c r="E415" s="157"/>
      <c r="F415" s="157"/>
    </row>
    <row r="416" spans="1:6" x14ac:dyDescent="0.25">
      <c r="A416" s="158"/>
      <c r="B416" s="159"/>
      <c r="C416" s="159"/>
      <c r="D416" s="160"/>
      <c r="E416" s="160"/>
      <c r="F416" s="161"/>
    </row>
    <row r="417" spans="1:6" x14ac:dyDescent="0.25">
      <c r="A417" s="157"/>
      <c r="B417" s="157"/>
      <c r="C417" s="157"/>
      <c r="D417" s="157"/>
      <c r="E417" s="157"/>
      <c r="F417" s="157"/>
    </row>
    <row r="418" spans="1:6" x14ac:dyDescent="0.25">
      <c r="A418" s="158"/>
      <c r="B418" s="159"/>
      <c r="C418" s="159"/>
      <c r="D418" s="160"/>
      <c r="E418" s="160"/>
      <c r="F418" s="161"/>
    </row>
    <row r="419" spans="1:6" x14ac:dyDescent="0.25">
      <c r="A419" s="157"/>
      <c r="B419" s="157"/>
      <c r="C419" s="157"/>
      <c r="D419" s="157"/>
      <c r="E419" s="157"/>
      <c r="F419" s="157"/>
    </row>
    <row r="420" spans="1:6" x14ac:dyDescent="0.25">
      <c r="A420" s="158"/>
      <c r="B420" s="159"/>
      <c r="C420" s="159"/>
      <c r="D420" s="160"/>
      <c r="E420" s="160"/>
      <c r="F420" s="161"/>
    </row>
    <row r="421" spans="1:6" x14ac:dyDescent="0.25">
      <c r="A421" s="158"/>
      <c r="B421" s="159"/>
      <c r="C421" s="159"/>
      <c r="D421" s="160"/>
      <c r="E421" s="160"/>
      <c r="F421" s="161"/>
    </row>
    <row r="422" spans="1:6" x14ac:dyDescent="0.25">
      <c r="A422" s="157"/>
      <c r="B422" s="157"/>
      <c r="C422" s="157"/>
      <c r="D422" s="157"/>
      <c r="E422" s="157"/>
      <c r="F422" s="157"/>
    </row>
    <row r="423" spans="1:6" x14ac:dyDescent="0.25">
      <c r="A423" s="158"/>
      <c r="B423" s="159"/>
      <c r="C423" s="159"/>
      <c r="D423" s="160"/>
      <c r="E423" s="160"/>
      <c r="F423" s="161"/>
    </row>
    <row r="424" spans="1:6" x14ac:dyDescent="0.25">
      <c r="A424" s="157"/>
      <c r="B424" s="157"/>
      <c r="C424" s="157"/>
      <c r="D424" s="157"/>
      <c r="E424" s="157"/>
      <c r="F424" s="157"/>
    </row>
    <row r="425" spans="1:6" x14ac:dyDescent="0.25">
      <c r="A425" s="158"/>
      <c r="B425" s="159"/>
      <c r="C425" s="159"/>
      <c r="D425" s="160"/>
      <c r="E425" s="160"/>
      <c r="F425" s="161"/>
    </row>
    <row r="426" spans="1:6" x14ac:dyDescent="0.25">
      <c r="A426" s="158"/>
      <c r="B426" s="157"/>
      <c r="C426" s="157"/>
      <c r="D426" s="160"/>
      <c r="E426" s="160"/>
      <c r="F426" s="161"/>
    </row>
    <row r="427" spans="1:6" x14ac:dyDescent="0.25">
      <c r="A427" s="157"/>
      <c r="B427" s="157"/>
      <c r="C427" s="157"/>
      <c r="D427" s="157"/>
      <c r="E427" s="157"/>
      <c r="F427" s="157"/>
    </row>
    <row r="428" spans="1:6" x14ac:dyDescent="0.25">
      <c r="A428" s="158"/>
      <c r="B428" s="159"/>
      <c r="C428" s="159"/>
      <c r="D428" s="160"/>
      <c r="E428" s="160"/>
      <c r="F428" s="161"/>
    </row>
    <row r="429" spans="1:6" x14ac:dyDescent="0.25">
      <c r="A429" s="157"/>
      <c r="B429" s="157"/>
      <c r="C429" s="157"/>
      <c r="D429" s="157"/>
      <c r="E429" s="157"/>
      <c r="F429" s="157"/>
    </row>
    <row r="430" spans="1:6" x14ac:dyDescent="0.25">
      <c r="A430" s="158"/>
      <c r="B430" s="159"/>
      <c r="C430" s="159"/>
      <c r="D430" s="160"/>
      <c r="E430" s="160"/>
      <c r="F430" s="161"/>
    </row>
    <row r="431" spans="1:6" x14ac:dyDescent="0.25">
      <c r="A431" s="158"/>
      <c r="B431" s="159"/>
      <c r="C431" s="159"/>
      <c r="D431" s="160"/>
      <c r="E431" s="160"/>
      <c r="F431" s="161"/>
    </row>
    <row r="432" spans="1:6" x14ac:dyDescent="0.25">
      <c r="A432" s="158"/>
      <c r="B432" s="159"/>
      <c r="C432" s="159"/>
      <c r="D432" s="160"/>
      <c r="E432" s="160"/>
      <c r="F432" s="161"/>
    </row>
    <row r="433" spans="1:6" x14ac:dyDescent="0.25">
      <c r="A433" s="157"/>
      <c r="B433" s="157"/>
      <c r="C433" s="157"/>
      <c r="D433" s="157"/>
      <c r="E433" s="157"/>
      <c r="F433" s="157"/>
    </row>
    <row r="434" spans="1:6" x14ac:dyDescent="0.25">
      <c r="A434" s="158"/>
      <c r="B434" s="159"/>
      <c r="C434" s="159"/>
      <c r="D434" s="160"/>
      <c r="E434" s="160"/>
      <c r="F434" s="161"/>
    </row>
    <row r="435" spans="1:6" x14ac:dyDescent="0.25">
      <c r="A435" s="157"/>
      <c r="B435" s="157"/>
      <c r="C435" s="157"/>
      <c r="D435" s="157"/>
      <c r="E435" s="157"/>
      <c r="F435" s="157"/>
    </row>
    <row r="436" spans="1:6" x14ac:dyDescent="0.25">
      <c r="A436" s="158"/>
      <c r="B436" s="159"/>
      <c r="C436" s="159"/>
      <c r="D436" s="160"/>
      <c r="E436" s="160"/>
      <c r="F436" s="161"/>
    </row>
    <row r="437" spans="1:6" x14ac:dyDescent="0.25">
      <c r="A437" s="157"/>
      <c r="B437" s="157"/>
      <c r="C437" s="157"/>
      <c r="D437" s="157"/>
      <c r="E437" s="157"/>
      <c r="F437" s="157"/>
    </row>
    <row r="438" spans="1:6" x14ac:dyDescent="0.25">
      <c r="A438" s="158"/>
      <c r="B438" s="159"/>
      <c r="C438" s="159"/>
      <c r="D438" s="160"/>
      <c r="E438" s="160"/>
      <c r="F438" s="161"/>
    </row>
    <row r="439" spans="1:6" x14ac:dyDescent="0.25">
      <c r="A439" s="158"/>
      <c r="B439" s="159"/>
      <c r="C439" s="159"/>
      <c r="D439" s="160"/>
      <c r="E439" s="160"/>
      <c r="F439" s="161"/>
    </row>
    <row r="440" spans="1:6" x14ac:dyDescent="0.25">
      <c r="A440" s="158"/>
      <c r="B440" s="157"/>
      <c r="C440" s="157"/>
      <c r="D440" s="160"/>
      <c r="E440" s="160"/>
      <c r="F440" s="161"/>
    </row>
    <row r="441" spans="1:6" x14ac:dyDescent="0.25">
      <c r="A441" s="157"/>
      <c r="B441" s="157"/>
      <c r="C441" s="157"/>
      <c r="D441" s="157"/>
      <c r="E441" s="157"/>
      <c r="F441" s="157"/>
    </row>
    <row r="442" spans="1:6" x14ac:dyDescent="0.25">
      <c r="A442" s="158"/>
      <c r="B442" s="159"/>
      <c r="C442" s="159"/>
      <c r="D442" s="160"/>
      <c r="E442" s="160"/>
      <c r="F442" s="161"/>
    </row>
    <row r="443" spans="1:6" x14ac:dyDescent="0.25">
      <c r="A443" s="158"/>
      <c r="B443" s="157"/>
      <c r="C443" s="157"/>
      <c r="D443" s="160"/>
      <c r="E443" s="160"/>
      <c r="F443" s="161"/>
    </row>
    <row r="444" spans="1:6" x14ac:dyDescent="0.25">
      <c r="A444" s="157"/>
      <c r="B444" s="157"/>
      <c r="C444" s="157"/>
      <c r="D444" s="157"/>
      <c r="E444" s="157"/>
      <c r="F444" s="157"/>
    </row>
    <row r="445" spans="1:6" x14ac:dyDescent="0.25">
      <c r="A445" s="158"/>
      <c r="B445" s="159"/>
      <c r="C445" s="159"/>
      <c r="D445" s="160"/>
      <c r="E445" s="160"/>
      <c r="F445" s="161"/>
    </row>
    <row r="446" spans="1:6" x14ac:dyDescent="0.25">
      <c r="A446" s="158"/>
      <c r="B446" s="159"/>
      <c r="C446" s="159"/>
      <c r="D446" s="160"/>
      <c r="E446" s="160"/>
      <c r="F446" s="161"/>
    </row>
    <row r="447" spans="1:6" x14ac:dyDescent="0.25">
      <c r="A447" s="157"/>
      <c r="B447" s="157"/>
      <c r="C447" s="157"/>
      <c r="D447" s="157"/>
      <c r="E447" s="157"/>
      <c r="F447" s="157"/>
    </row>
    <row r="448" spans="1:6" x14ac:dyDescent="0.25">
      <c r="A448" s="158"/>
      <c r="B448" s="159"/>
      <c r="C448" s="159"/>
      <c r="D448" s="160"/>
      <c r="E448" s="160"/>
      <c r="F448" s="161"/>
    </row>
    <row r="449" spans="1:6" x14ac:dyDescent="0.25">
      <c r="A449" s="158"/>
      <c r="B449" s="159"/>
      <c r="C449" s="159"/>
      <c r="D449" s="160"/>
      <c r="E449" s="160"/>
      <c r="F449" s="161"/>
    </row>
    <row r="450" spans="1:6" x14ac:dyDescent="0.25">
      <c r="A450" s="158"/>
      <c r="B450" s="159"/>
      <c r="C450" s="159"/>
      <c r="D450" s="160"/>
      <c r="E450" s="160"/>
      <c r="F450" s="161"/>
    </row>
    <row r="451" spans="1:6" x14ac:dyDescent="0.25">
      <c r="A451" s="157"/>
      <c r="B451" s="157"/>
      <c r="C451" s="157"/>
      <c r="D451" s="157"/>
      <c r="E451" s="157"/>
      <c r="F451" s="157"/>
    </row>
    <row r="452" spans="1:6" x14ac:dyDescent="0.25">
      <c r="A452" s="158"/>
      <c r="B452" s="159"/>
      <c r="C452" s="159"/>
      <c r="D452" s="160"/>
      <c r="E452" s="160"/>
      <c r="F452" s="161"/>
    </row>
    <row r="453" spans="1:6" x14ac:dyDescent="0.25">
      <c r="A453" s="157"/>
      <c r="B453" s="157"/>
      <c r="C453" s="157"/>
      <c r="D453" s="157"/>
      <c r="E453" s="157"/>
      <c r="F453" s="157"/>
    </row>
    <row r="454" spans="1:6" x14ac:dyDescent="0.25">
      <c r="A454" s="158"/>
      <c r="B454" s="159"/>
      <c r="C454" s="159"/>
      <c r="D454" s="160"/>
      <c r="E454" s="160"/>
      <c r="F454" s="161"/>
    </row>
    <row r="455" spans="1:6" x14ac:dyDescent="0.25">
      <c r="A455" s="157"/>
      <c r="B455" s="157"/>
      <c r="C455" s="157"/>
      <c r="D455" s="157"/>
      <c r="E455" s="157"/>
      <c r="F455" s="157"/>
    </row>
    <row r="456" spans="1:6" x14ac:dyDescent="0.25">
      <c r="A456" s="158"/>
      <c r="B456" s="159"/>
      <c r="C456" s="159"/>
      <c r="D456" s="160"/>
      <c r="E456" s="160"/>
      <c r="F456" s="161"/>
    </row>
    <row r="457" spans="1:6" x14ac:dyDescent="0.25">
      <c r="A457" s="157"/>
      <c r="B457" s="157"/>
      <c r="C457" s="157"/>
      <c r="D457" s="157"/>
      <c r="E457" s="157"/>
      <c r="F457" s="157"/>
    </row>
    <row r="458" spans="1:6" x14ac:dyDescent="0.25">
      <c r="A458" s="158"/>
      <c r="B458" s="159"/>
      <c r="C458" s="159"/>
      <c r="D458" s="160"/>
      <c r="E458" s="160"/>
      <c r="F458" s="161"/>
    </row>
    <row r="459" spans="1:6" x14ac:dyDescent="0.25">
      <c r="A459" s="158"/>
      <c r="B459" s="157"/>
      <c r="C459" s="157"/>
      <c r="D459" s="160"/>
      <c r="E459" s="160"/>
      <c r="F459" s="161"/>
    </row>
    <row r="460" spans="1:6" x14ac:dyDescent="0.25">
      <c r="A460" s="157"/>
      <c r="B460" s="157"/>
      <c r="C460" s="157"/>
      <c r="D460" s="157"/>
      <c r="E460" s="157"/>
      <c r="F460" s="157"/>
    </row>
    <row r="461" spans="1:6" x14ac:dyDescent="0.25">
      <c r="A461" s="158"/>
      <c r="B461" s="159"/>
      <c r="C461" s="159"/>
      <c r="D461" s="160"/>
      <c r="E461" s="160"/>
      <c r="F461" s="161"/>
    </row>
    <row r="462" spans="1:6" x14ac:dyDescent="0.25">
      <c r="A462" s="158"/>
      <c r="B462" s="159"/>
      <c r="C462" s="159"/>
      <c r="D462" s="160"/>
      <c r="E462" s="160"/>
      <c r="F462" s="161"/>
    </row>
    <row r="463" spans="1:6" x14ac:dyDescent="0.25">
      <c r="A463" s="157"/>
      <c r="B463" s="157"/>
      <c r="C463" s="157"/>
      <c r="D463" s="157"/>
      <c r="E463" s="157"/>
      <c r="F463" s="157"/>
    </row>
    <row r="464" spans="1:6" x14ac:dyDescent="0.25">
      <c r="A464" s="158"/>
      <c r="B464" s="159"/>
      <c r="C464" s="159"/>
      <c r="D464" s="160"/>
      <c r="E464" s="160"/>
      <c r="F464" s="161"/>
    </row>
    <row r="465" spans="1:6" x14ac:dyDescent="0.25">
      <c r="A465" s="157"/>
      <c r="B465" s="157"/>
      <c r="C465" s="157"/>
      <c r="D465" s="157"/>
      <c r="E465" s="157"/>
      <c r="F465" s="157"/>
    </row>
    <row r="466" spans="1:6" x14ac:dyDescent="0.25">
      <c r="A466" s="158"/>
      <c r="B466" s="159"/>
      <c r="C466" s="159"/>
      <c r="D466" s="160"/>
      <c r="E466" s="160"/>
      <c r="F466" s="161"/>
    </row>
    <row r="467" spans="1:6" x14ac:dyDescent="0.25">
      <c r="A467" s="157"/>
      <c r="B467" s="157"/>
      <c r="C467" s="157"/>
      <c r="D467" s="157"/>
      <c r="E467" s="157"/>
      <c r="F467" s="157"/>
    </row>
    <row r="468" spans="1:6" x14ac:dyDescent="0.25">
      <c r="A468" s="158"/>
      <c r="B468" s="159"/>
      <c r="C468" s="159"/>
      <c r="D468" s="160"/>
      <c r="E468" s="160"/>
      <c r="F468" s="161"/>
    </row>
    <row r="469" spans="1:6" x14ac:dyDescent="0.25">
      <c r="A469" s="158"/>
      <c r="B469" s="159"/>
      <c r="C469" s="159"/>
      <c r="D469" s="160"/>
      <c r="E469" s="160"/>
      <c r="F469" s="161"/>
    </row>
    <row r="470" spans="1:6" x14ac:dyDescent="0.25">
      <c r="A470" s="158"/>
      <c r="B470" s="159"/>
      <c r="C470" s="159"/>
      <c r="D470" s="160"/>
      <c r="E470" s="160"/>
      <c r="F470" s="161"/>
    </row>
    <row r="471" spans="1:6" x14ac:dyDescent="0.25">
      <c r="A471" s="158"/>
      <c r="B471" s="157"/>
      <c r="C471" s="157"/>
      <c r="D471" s="160"/>
      <c r="E471" s="160"/>
      <c r="F471" s="161"/>
    </row>
    <row r="472" spans="1:6" x14ac:dyDescent="0.25">
      <c r="A472" s="157"/>
      <c r="B472" s="157"/>
      <c r="C472" s="157"/>
      <c r="D472" s="157"/>
      <c r="E472" s="157"/>
      <c r="F472" s="157"/>
    </row>
    <row r="473" spans="1:6" x14ac:dyDescent="0.25">
      <c r="A473" s="158"/>
      <c r="B473" s="159"/>
      <c r="C473" s="159"/>
      <c r="D473" s="160"/>
      <c r="E473" s="160"/>
      <c r="F473" s="161"/>
    </row>
    <row r="474" spans="1:6" x14ac:dyDescent="0.25">
      <c r="A474" s="157"/>
      <c r="B474" s="157"/>
      <c r="C474" s="157"/>
      <c r="D474" s="157"/>
      <c r="E474" s="157"/>
      <c r="F474" s="157"/>
    </row>
    <row r="475" spans="1:6" x14ac:dyDescent="0.25">
      <c r="A475" s="158"/>
      <c r="B475" s="159"/>
      <c r="C475" s="159"/>
      <c r="D475" s="160"/>
      <c r="E475" s="160"/>
      <c r="F475" s="161"/>
    </row>
    <row r="476" spans="1:6" x14ac:dyDescent="0.25">
      <c r="A476" s="158"/>
      <c r="B476" s="159"/>
      <c r="C476" s="159"/>
      <c r="D476" s="160"/>
      <c r="E476" s="160"/>
      <c r="F476" s="161"/>
    </row>
    <row r="477" spans="1:6" x14ac:dyDescent="0.25">
      <c r="A477" s="158"/>
      <c r="B477" s="159"/>
      <c r="C477" s="159"/>
      <c r="D477" s="160"/>
      <c r="E477" s="160"/>
      <c r="F477" s="161"/>
    </row>
    <row r="478" spans="1:6" x14ac:dyDescent="0.25">
      <c r="A478" s="157"/>
      <c r="B478" s="157"/>
      <c r="C478" s="157"/>
      <c r="D478" s="157"/>
      <c r="E478" s="157"/>
      <c r="F478" s="157"/>
    </row>
    <row r="479" spans="1:6" x14ac:dyDescent="0.25">
      <c r="A479" s="158"/>
      <c r="B479" s="159"/>
      <c r="C479" s="159"/>
      <c r="D479" s="160"/>
      <c r="E479" s="160"/>
      <c r="F479" s="161"/>
    </row>
    <row r="480" spans="1:6" x14ac:dyDescent="0.25">
      <c r="A480" s="158"/>
      <c r="B480" s="159"/>
      <c r="C480" s="159"/>
      <c r="D480" s="160"/>
      <c r="E480" s="160"/>
      <c r="F480" s="161"/>
    </row>
    <row r="481" spans="1:6" x14ac:dyDescent="0.25">
      <c r="A481" s="157"/>
      <c r="B481" s="157"/>
      <c r="C481" s="157"/>
      <c r="D481" s="157"/>
      <c r="E481" s="157"/>
      <c r="F481" s="157"/>
    </row>
    <row r="482" spans="1:6" x14ac:dyDescent="0.25">
      <c r="A482" s="158"/>
      <c r="B482" s="159"/>
      <c r="C482" s="159"/>
      <c r="D482" s="160"/>
      <c r="E482" s="160"/>
      <c r="F482" s="161"/>
    </row>
    <row r="483" spans="1:6" x14ac:dyDescent="0.25">
      <c r="A483" s="158"/>
      <c r="B483" s="159"/>
      <c r="C483" s="159"/>
      <c r="D483" s="160"/>
      <c r="E483" s="160"/>
      <c r="F483" s="161"/>
    </row>
    <row r="484" spans="1:6" x14ac:dyDescent="0.25">
      <c r="A484" s="158"/>
      <c r="B484" s="159"/>
      <c r="C484" s="159"/>
      <c r="D484" s="160"/>
      <c r="E484" s="160"/>
      <c r="F484" s="161"/>
    </row>
    <row r="485" spans="1:6" x14ac:dyDescent="0.25">
      <c r="A485" s="158"/>
      <c r="B485" s="157"/>
      <c r="C485" s="157"/>
      <c r="D485" s="160"/>
      <c r="E485" s="160"/>
      <c r="F485" s="161"/>
    </row>
    <row r="486" spans="1:6" x14ac:dyDescent="0.25">
      <c r="A486" s="157"/>
      <c r="B486" s="157"/>
      <c r="C486" s="157"/>
      <c r="D486" s="157"/>
      <c r="E486" s="157"/>
      <c r="F486" s="157"/>
    </row>
    <row r="487" spans="1:6" x14ac:dyDescent="0.25">
      <c r="A487" s="158"/>
      <c r="B487" s="159"/>
      <c r="C487" s="159"/>
      <c r="D487" s="160"/>
      <c r="E487" s="160"/>
      <c r="F487" s="161"/>
    </row>
    <row r="488" spans="1:6" x14ac:dyDescent="0.25">
      <c r="A488" s="157"/>
      <c r="B488" s="157"/>
      <c r="C488" s="157"/>
      <c r="D488" s="157"/>
      <c r="E488" s="157"/>
      <c r="F488" s="157"/>
    </row>
    <row r="489" spans="1:6" x14ac:dyDescent="0.25">
      <c r="A489" s="158"/>
      <c r="B489" s="159"/>
      <c r="C489" s="159"/>
      <c r="D489" s="160"/>
      <c r="E489" s="160"/>
      <c r="F489" s="161"/>
    </row>
    <row r="490" spans="1:6" x14ac:dyDescent="0.25">
      <c r="A490" s="157"/>
      <c r="B490" s="157"/>
      <c r="C490" s="157"/>
      <c r="D490" s="157"/>
      <c r="E490" s="157"/>
      <c r="F490" s="157"/>
    </row>
    <row r="491" spans="1:6" x14ac:dyDescent="0.25">
      <c r="A491" s="158"/>
      <c r="B491" s="159"/>
      <c r="C491" s="159"/>
      <c r="D491" s="160"/>
      <c r="E491" s="160"/>
      <c r="F491" s="161"/>
    </row>
    <row r="492" spans="1:6" x14ac:dyDescent="0.25">
      <c r="A492" s="157"/>
      <c r="B492" s="157"/>
      <c r="C492" s="157"/>
      <c r="D492" s="157"/>
      <c r="E492" s="157"/>
      <c r="F492" s="157"/>
    </row>
    <row r="493" spans="1:6" x14ac:dyDescent="0.25">
      <c r="A493" s="158"/>
      <c r="B493" s="159"/>
      <c r="C493" s="159"/>
      <c r="D493" s="160"/>
      <c r="E493" s="160"/>
      <c r="F493" s="161"/>
    </row>
    <row r="494" spans="1:6" x14ac:dyDescent="0.25">
      <c r="A494" s="158"/>
      <c r="B494" s="157"/>
      <c r="C494" s="157"/>
      <c r="D494" s="160"/>
      <c r="E494" s="160"/>
      <c r="F494" s="161"/>
    </row>
    <row r="495" spans="1:6" x14ac:dyDescent="0.25">
      <c r="A495" s="157"/>
      <c r="B495" s="157"/>
      <c r="C495" s="157"/>
      <c r="D495" s="157"/>
      <c r="E495" s="157"/>
      <c r="F495" s="157"/>
    </row>
    <row r="496" spans="1:6" x14ac:dyDescent="0.25">
      <c r="A496" s="158"/>
      <c r="B496" s="159"/>
      <c r="C496" s="159"/>
      <c r="D496" s="160"/>
      <c r="E496" s="160"/>
      <c r="F496" s="161"/>
    </row>
    <row r="497" spans="1:6" x14ac:dyDescent="0.25">
      <c r="A497" s="157"/>
      <c r="B497" s="157"/>
      <c r="C497" s="157"/>
      <c r="D497" s="157"/>
      <c r="E497" s="157"/>
      <c r="F497" s="157"/>
    </row>
    <row r="498" spans="1:6" x14ac:dyDescent="0.25">
      <c r="A498" s="158"/>
      <c r="B498" s="159"/>
      <c r="C498" s="159"/>
      <c r="D498" s="160"/>
      <c r="E498" s="160"/>
      <c r="F498" s="161"/>
    </row>
    <row r="499" spans="1:6" x14ac:dyDescent="0.25">
      <c r="A499" s="158"/>
      <c r="B499" s="157"/>
      <c r="C499" s="157"/>
      <c r="D499" s="160"/>
      <c r="E499" s="160"/>
      <c r="F499" s="161"/>
    </row>
    <row r="500" spans="1:6" x14ac:dyDescent="0.25">
      <c r="A500" s="157"/>
      <c r="B500" s="157"/>
      <c r="C500" s="157"/>
      <c r="D500" s="157"/>
      <c r="E500" s="157"/>
      <c r="F500" s="157"/>
    </row>
    <row r="501" spans="1:6" x14ac:dyDescent="0.25">
      <c r="A501" s="158"/>
      <c r="B501" s="159"/>
      <c r="C501" s="159"/>
      <c r="D501" s="160"/>
      <c r="E501" s="160"/>
      <c r="F501" s="161"/>
    </row>
    <row r="502" spans="1:6" x14ac:dyDescent="0.25">
      <c r="A502" s="158"/>
      <c r="B502" s="159"/>
      <c r="C502" s="159"/>
      <c r="D502" s="160"/>
      <c r="E502" s="160"/>
      <c r="F502" s="161"/>
    </row>
    <row r="503" spans="1:6" x14ac:dyDescent="0.25">
      <c r="A503" s="157"/>
      <c r="B503" s="157"/>
      <c r="C503" s="157"/>
      <c r="D503" s="157"/>
      <c r="E503" s="157"/>
      <c r="F503" s="157"/>
    </row>
    <row r="504" spans="1:6" x14ac:dyDescent="0.25">
      <c r="A504" s="158"/>
      <c r="B504" s="159"/>
      <c r="C504" s="159"/>
      <c r="D504" s="160"/>
      <c r="E504" s="160"/>
      <c r="F504" s="161"/>
    </row>
    <row r="505" spans="1:6" x14ac:dyDescent="0.25">
      <c r="A505" s="158"/>
      <c r="B505" s="157"/>
      <c r="C505" s="157"/>
      <c r="D505" s="160"/>
      <c r="E505" s="160"/>
      <c r="F505" s="161"/>
    </row>
    <row r="506" spans="1:6" x14ac:dyDescent="0.25">
      <c r="A506" s="157"/>
      <c r="B506" s="157"/>
      <c r="C506" s="157"/>
      <c r="D506" s="157"/>
      <c r="E506" s="157"/>
      <c r="F506" s="157"/>
    </row>
    <row r="507" spans="1:6" x14ac:dyDescent="0.25">
      <c r="A507" s="158"/>
      <c r="B507" s="159"/>
      <c r="C507" s="159"/>
      <c r="D507" s="160"/>
      <c r="E507" s="160"/>
      <c r="F507" s="161"/>
    </row>
    <row r="508" spans="1:6" x14ac:dyDescent="0.25">
      <c r="A508" s="158"/>
      <c r="B508" s="159"/>
      <c r="C508" s="159"/>
      <c r="D508" s="160"/>
      <c r="E508" s="160"/>
      <c r="F508" s="161"/>
    </row>
    <row r="509" spans="1:6" x14ac:dyDescent="0.25">
      <c r="A509" s="157"/>
      <c r="B509" s="157"/>
      <c r="C509" s="157"/>
      <c r="D509" s="157"/>
      <c r="E509" s="157"/>
      <c r="F509" s="157"/>
    </row>
    <row r="510" spans="1:6" x14ac:dyDescent="0.25">
      <c r="A510" s="158"/>
      <c r="B510" s="159"/>
      <c r="C510" s="159"/>
      <c r="D510" s="160"/>
      <c r="E510" s="160"/>
      <c r="F510" s="161"/>
    </row>
    <row r="511" spans="1:6" x14ac:dyDescent="0.25">
      <c r="A511" s="158"/>
      <c r="B511" s="159"/>
      <c r="C511" s="159"/>
      <c r="D511" s="160"/>
      <c r="E511" s="160"/>
      <c r="F511" s="161"/>
    </row>
    <row r="512" spans="1:6" x14ac:dyDescent="0.25">
      <c r="A512" s="157"/>
      <c r="B512" s="157"/>
      <c r="C512" s="157"/>
      <c r="D512" s="157"/>
      <c r="E512" s="157"/>
      <c r="F512" s="157"/>
    </row>
    <row r="513" spans="1:6" x14ac:dyDescent="0.25">
      <c r="A513" s="158"/>
      <c r="B513" s="159"/>
      <c r="C513" s="159"/>
      <c r="D513" s="160"/>
      <c r="E513" s="160"/>
      <c r="F513" s="161"/>
    </row>
    <row r="514" spans="1:6" x14ac:dyDescent="0.25">
      <c r="A514" s="158"/>
      <c r="B514" s="159"/>
      <c r="C514" s="159"/>
      <c r="D514" s="160"/>
      <c r="E514" s="160"/>
      <c r="F514" s="161"/>
    </row>
    <row r="515" spans="1:6" x14ac:dyDescent="0.25">
      <c r="A515" s="158"/>
      <c r="B515" s="159"/>
      <c r="C515" s="159"/>
      <c r="D515" s="160"/>
      <c r="E515" s="160"/>
      <c r="F515" s="161"/>
    </row>
    <row r="516" spans="1:6" x14ac:dyDescent="0.25">
      <c r="A516" s="157"/>
      <c r="B516" s="157"/>
      <c r="C516" s="157"/>
      <c r="D516" s="157"/>
      <c r="E516" s="157"/>
      <c r="F516" s="157"/>
    </row>
    <row r="517" spans="1:6" x14ac:dyDescent="0.25">
      <c r="A517" s="158"/>
      <c r="B517" s="159"/>
      <c r="C517" s="159"/>
      <c r="D517" s="160"/>
      <c r="E517" s="160"/>
      <c r="F517" s="161"/>
    </row>
    <row r="518" spans="1:6" x14ac:dyDescent="0.25">
      <c r="A518" s="157"/>
      <c r="B518" s="157"/>
      <c r="C518" s="157"/>
      <c r="D518" s="157"/>
      <c r="E518" s="157"/>
      <c r="F518" s="157"/>
    </row>
    <row r="519" spans="1:6" x14ac:dyDescent="0.25">
      <c r="A519" s="158"/>
      <c r="B519" s="159"/>
      <c r="C519" s="159"/>
      <c r="D519" s="160"/>
      <c r="E519" s="160"/>
      <c r="F519" s="161"/>
    </row>
    <row r="520" spans="1:6" x14ac:dyDescent="0.25">
      <c r="A520" s="158"/>
      <c r="B520" s="159"/>
      <c r="C520" s="159"/>
      <c r="D520" s="160"/>
      <c r="E520" s="160"/>
      <c r="F520" s="161"/>
    </row>
    <row r="521" spans="1:6" x14ac:dyDescent="0.25">
      <c r="A521" s="157"/>
      <c r="B521" s="157"/>
      <c r="C521" s="157"/>
      <c r="D521" s="157"/>
      <c r="E521" s="157"/>
      <c r="F521" s="157"/>
    </row>
    <row r="522" spans="1:6" x14ac:dyDescent="0.25">
      <c r="A522" s="158"/>
      <c r="B522" s="159"/>
      <c r="C522" s="159"/>
      <c r="D522" s="160"/>
      <c r="E522" s="160"/>
      <c r="F522" s="161"/>
    </row>
    <row r="523" spans="1:6" x14ac:dyDescent="0.25">
      <c r="A523" s="158"/>
      <c r="B523" s="159"/>
      <c r="C523" s="159"/>
      <c r="D523" s="160"/>
      <c r="E523" s="160"/>
      <c r="F523" s="161"/>
    </row>
    <row r="524" spans="1:6" x14ac:dyDescent="0.25">
      <c r="A524" s="158"/>
      <c r="B524" s="159"/>
      <c r="C524" s="159"/>
      <c r="D524" s="160"/>
      <c r="E524" s="160"/>
      <c r="F524" s="161"/>
    </row>
    <row r="525" spans="1:6" x14ac:dyDescent="0.25">
      <c r="A525" s="157"/>
      <c r="B525" s="157"/>
      <c r="C525" s="157"/>
      <c r="D525" s="157"/>
      <c r="E525" s="157"/>
      <c r="F525" s="157"/>
    </row>
    <row r="526" spans="1:6" x14ac:dyDescent="0.25">
      <c r="A526" s="158"/>
      <c r="B526" s="159"/>
      <c r="C526" s="159"/>
      <c r="D526" s="160"/>
      <c r="E526" s="160"/>
      <c r="F526" s="161"/>
    </row>
    <row r="527" spans="1:6" x14ac:dyDescent="0.25">
      <c r="A527" s="158"/>
      <c r="B527" s="157"/>
      <c r="C527" s="157"/>
      <c r="D527" s="160"/>
      <c r="E527" s="160"/>
      <c r="F527" s="161"/>
    </row>
    <row r="528" spans="1:6" x14ac:dyDescent="0.25">
      <c r="A528" s="157"/>
      <c r="B528" s="157"/>
      <c r="C528" s="162"/>
      <c r="D528" s="157"/>
      <c r="E528" s="157"/>
      <c r="F528" s="157"/>
    </row>
    <row r="529" spans="1:6" x14ac:dyDescent="0.25">
      <c r="A529" s="158"/>
      <c r="B529" s="159"/>
      <c r="C529" s="159"/>
      <c r="D529" s="160"/>
      <c r="E529" s="160"/>
      <c r="F529" s="161"/>
    </row>
    <row r="530" spans="1:6" x14ac:dyDescent="0.25">
      <c r="A530" s="157"/>
      <c r="B530" s="157"/>
      <c r="C530" s="157"/>
      <c r="D530" s="157"/>
      <c r="E530" s="157"/>
      <c r="F530" s="157"/>
    </row>
    <row r="531" spans="1:6" x14ac:dyDescent="0.25">
      <c r="A531" s="158"/>
      <c r="B531" s="159"/>
      <c r="C531" s="159"/>
      <c r="D531" s="160"/>
      <c r="E531" s="160"/>
      <c r="F531" s="161"/>
    </row>
    <row r="532" spans="1:6" x14ac:dyDescent="0.25">
      <c r="A532" s="158"/>
      <c r="B532" s="159"/>
      <c r="C532" s="159"/>
      <c r="D532" s="160"/>
      <c r="E532" s="160"/>
      <c r="F532" s="161"/>
    </row>
    <row r="533" spans="1:6" x14ac:dyDescent="0.25">
      <c r="A533" s="157"/>
      <c r="B533" s="157"/>
      <c r="C533" s="157"/>
      <c r="D533" s="157"/>
      <c r="E533" s="157"/>
      <c r="F533" s="157"/>
    </row>
    <row r="534" spans="1:6" x14ac:dyDescent="0.25">
      <c r="A534" s="158"/>
      <c r="B534" s="159"/>
      <c r="C534" s="159"/>
      <c r="D534" s="160"/>
      <c r="E534" s="160"/>
      <c r="F534" s="161"/>
    </row>
    <row r="535" spans="1:6" x14ac:dyDescent="0.25">
      <c r="A535" s="158"/>
      <c r="B535" s="159"/>
      <c r="C535" s="159"/>
      <c r="D535" s="160"/>
      <c r="E535" s="160"/>
      <c r="F535" s="161"/>
    </row>
    <row r="536" spans="1:6" x14ac:dyDescent="0.25">
      <c r="A536" s="158"/>
      <c r="B536" s="159"/>
      <c r="C536" s="159"/>
      <c r="D536" s="160"/>
      <c r="E536" s="160"/>
      <c r="F536" s="161"/>
    </row>
    <row r="537" spans="1:6" x14ac:dyDescent="0.25">
      <c r="A537" s="158"/>
      <c r="B537" s="159"/>
      <c r="C537" s="159"/>
      <c r="D537" s="160"/>
      <c r="E537" s="160"/>
      <c r="F537" s="161"/>
    </row>
    <row r="538" spans="1:6" x14ac:dyDescent="0.25">
      <c r="A538" s="157"/>
      <c r="B538" s="157"/>
      <c r="C538" s="157"/>
      <c r="D538" s="157"/>
      <c r="E538" s="157"/>
      <c r="F538" s="157"/>
    </row>
    <row r="539" spans="1:6" x14ac:dyDescent="0.25">
      <c r="A539" s="158"/>
      <c r="B539" s="159"/>
      <c r="C539" s="159"/>
      <c r="D539" s="160"/>
      <c r="E539" s="160"/>
      <c r="F539" s="161"/>
    </row>
    <row r="540" spans="1:6" x14ac:dyDescent="0.25">
      <c r="A540" s="158"/>
      <c r="B540" s="159"/>
      <c r="C540" s="159"/>
      <c r="D540" s="160"/>
      <c r="E540" s="160"/>
      <c r="F540" s="161"/>
    </row>
    <row r="541" spans="1:6" x14ac:dyDescent="0.25">
      <c r="A541" s="158"/>
      <c r="B541" s="159"/>
      <c r="C541" s="159"/>
      <c r="D541" s="160"/>
      <c r="E541" s="160"/>
      <c r="F541" s="161"/>
    </row>
    <row r="542" spans="1:6" x14ac:dyDescent="0.25">
      <c r="A542" s="158"/>
      <c r="B542" s="159"/>
      <c r="C542" s="159"/>
      <c r="D542" s="160"/>
      <c r="E542" s="160"/>
      <c r="F542" s="161"/>
    </row>
    <row r="543" spans="1:6" x14ac:dyDescent="0.25">
      <c r="A543" s="157"/>
      <c r="B543" s="157"/>
      <c r="C543" s="157"/>
      <c r="D543" s="157"/>
      <c r="E543" s="157"/>
      <c r="F543" s="157"/>
    </row>
    <row r="544" spans="1:6" x14ac:dyDescent="0.25">
      <c r="A544" s="158"/>
      <c r="B544" s="159"/>
      <c r="C544" s="159"/>
      <c r="D544" s="160"/>
      <c r="E544" s="160"/>
      <c r="F544" s="161"/>
    </row>
    <row r="545" spans="1:6" x14ac:dyDescent="0.25">
      <c r="A545" s="158"/>
      <c r="B545" s="159"/>
      <c r="C545" s="159"/>
      <c r="D545" s="160"/>
      <c r="E545" s="160"/>
      <c r="F545" s="161"/>
    </row>
    <row r="546" spans="1:6" x14ac:dyDescent="0.25">
      <c r="A546" s="158"/>
      <c r="B546" s="159"/>
      <c r="C546" s="159"/>
      <c r="D546" s="160"/>
      <c r="E546" s="160"/>
      <c r="F546" s="161"/>
    </row>
    <row r="547" spans="1:6" x14ac:dyDescent="0.25">
      <c r="A547" s="157"/>
      <c r="B547" s="157"/>
      <c r="C547" s="157"/>
      <c r="D547" s="157"/>
      <c r="E547" s="157"/>
      <c r="F547" s="157"/>
    </row>
    <row r="548" spans="1:6" x14ac:dyDescent="0.25">
      <c r="A548" s="158"/>
      <c r="B548" s="159"/>
      <c r="C548" s="159"/>
      <c r="D548" s="160"/>
      <c r="E548" s="160"/>
      <c r="F548" s="161"/>
    </row>
    <row r="549" spans="1:6" x14ac:dyDescent="0.25">
      <c r="A549" s="157"/>
      <c r="B549" s="157"/>
      <c r="C549" s="157"/>
      <c r="D549" s="157"/>
      <c r="E549" s="157"/>
      <c r="F549" s="157"/>
    </row>
    <row r="550" spans="1:6" x14ac:dyDescent="0.25">
      <c r="A550" s="158"/>
      <c r="B550" s="159"/>
      <c r="C550" s="159"/>
      <c r="D550" s="160"/>
      <c r="E550" s="160"/>
      <c r="F550" s="161"/>
    </row>
    <row r="551" spans="1:6" x14ac:dyDescent="0.25">
      <c r="A551" s="157"/>
      <c r="B551" s="157"/>
      <c r="C551" s="157"/>
      <c r="D551" s="157"/>
      <c r="E551" s="157"/>
      <c r="F551" s="157"/>
    </row>
    <row r="552" spans="1:6" x14ac:dyDescent="0.25">
      <c r="A552" s="158"/>
      <c r="B552" s="159"/>
      <c r="C552" s="159"/>
      <c r="D552" s="160"/>
      <c r="E552" s="160"/>
      <c r="F552" s="161"/>
    </row>
    <row r="553" spans="1:6" x14ac:dyDescent="0.25">
      <c r="A553" s="158"/>
      <c r="B553" s="159"/>
      <c r="C553" s="159"/>
      <c r="D553" s="160"/>
      <c r="E553" s="160"/>
      <c r="F553" s="161"/>
    </row>
    <row r="554" spans="1:6" x14ac:dyDescent="0.25">
      <c r="A554" s="157"/>
      <c r="B554" s="157"/>
      <c r="C554" s="157"/>
      <c r="D554" s="157"/>
      <c r="E554" s="157"/>
      <c r="F554" s="157"/>
    </row>
    <row r="555" spans="1:6" x14ac:dyDescent="0.25">
      <c r="A555" s="158"/>
      <c r="B555" s="159"/>
      <c r="C555" s="159"/>
      <c r="D555" s="160"/>
      <c r="E555" s="160"/>
      <c r="F555" s="161"/>
    </row>
    <row r="556" spans="1:6" x14ac:dyDescent="0.25">
      <c r="A556" s="158"/>
      <c r="B556" s="159"/>
      <c r="C556" s="159"/>
      <c r="D556" s="160"/>
      <c r="E556" s="160"/>
      <c r="F556" s="161"/>
    </row>
    <row r="557" spans="1:6" x14ac:dyDescent="0.25">
      <c r="A557" s="158"/>
      <c r="B557" s="159"/>
      <c r="C557" s="159"/>
      <c r="D557" s="160"/>
      <c r="E557" s="160"/>
      <c r="F557" s="161"/>
    </row>
    <row r="558" spans="1:6" x14ac:dyDescent="0.25">
      <c r="A558" s="158"/>
      <c r="B558" s="159"/>
      <c r="C558" s="159"/>
      <c r="D558" s="160"/>
      <c r="E558" s="160"/>
      <c r="F558" s="161"/>
    </row>
    <row r="559" spans="1:6" x14ac:dyDescent="0.25">
      <c r="A559" s="158"/>
      <c r="B559" s="159"/>
      <c r="C559" s="159"/>
      <c r="D559" s="160"/>
      <c r="E559" s="160"/>
      <c r="F559" s="161"/>
    </row>
    <row r="560" spans="1:6" x14ac:dyDescent="0.25">
      <c r="A560" s="157"/>
      <c r="B560" s="157"/>
      <c r="C560" s="157"/>
      <c r="D560" s="157"/>
      <c r="E560" s="157"/>
      <c r="F560" s="157"/>
    </row>
    <row r="561" spans="1:7" x14ac:dyDescent="0.25">
      <c r="A561" s="158"/>
      <c r="B561" s="159"/>
      <c r="C561" s="159"/>
      <c r="D561" s="160"/>
      <c r="E561" s="160"/>
      <c r="F561" s="161"/>
    </row>
    <row r="562" spans="1:7" x14ac:dyDescent="0.25">
      <c r="A562" s="158"/>
      <c r="B562" s="159"/>
      <c r="C562" s="159"/>
      <c r="D562" s="160"/>
      <c r="E562" s="160"/>
      <c r="F562" s="161"/>
    </row>
    <row r="563" spans="1:7" x14ac:dyDescent="0.25">
      <c r="A563" s="157"/>
      <c r="B563" s="157"/>
      <c r="C563" s="157"/>
      <c r="D563" s="157"/>
      <c r="E563" s="157"/>
      <c r="F563" s="157"/>
    </row>
    <row r="564" spans="1:7" x14ac:dyDescent="0.25">
      <c r="A564" s="158"/>
      <c r="B564" s="159"/>
      <c r="C564" s="159"/>
      <c r="D564" s="160"/>
      <c r="E564" s="160"/>
      <c r="F564" s="161"/>
    </row>
    <row r="565" spans="1:7" x14ac:dyDescent="0.25">
      <c r="A565" s="157"/>
      <c r="B565" s="157"/>
      <c r="C565" s="157"/>
      <c r="D565" s="157"/>
      <c r="E565" s="157"/>
      <c r="F565" s="157"/>
    </row>
    <row r="566" spans="1:7" x14ac:dyDescent="0.25">
      <c r="A566" s="158"/>
      <c r="B566" s="159"/>
      <c r="C566" s="159"/>
      <c r="D566" s="160"/>
      <c r="E566" s="160"/>
      <c r="F566" s="161"/>
    </row>
    <row r="567" spans="1:7" x14ac:dyDescent="0.25">
      <c r="A567" s="157"/>
      <c r="B567" s="157"/>
      <c r="C567" s="157"/>
      <c r="D567" s="157"/>
      <c r="E567" s="157"/>
      <c r="F567" s="157"/>
    </row>
    <row r="568" spans="1:7" x14ac:dyDescent="0.25">
      <c r="A568" s="158"/>
      <c r="B568" s="159"/>
      <c r="C568" s="159"/>
      <c r="D568" s="160"/>
      <c r="E568" s="160"/>
      <c r="F568" s="161"/>
      <c r="G568" s="156" t="s">
        <v>38</v>
      </c>
    </row>
    <row r="569" spans="1:7" x14ac:dyDescent="0.25">
      <c r="A569" s="158"/>
      <c r="B569" s="159"/>
      <c r="C569" s="159"/>
      <c r="D569" s="160"/>
      <c r="E569" s="160"/>
      <c r="F569" s="161"/>
    </row>
    <row r="570" spans="1:7" x14ac:dyDescent="0.25">
      <c r="A570" s="157"/>
      <c r="B570" s="157"/>
      <c r="C570" s="157"/>
      <c r="D570" s="157"/>
      <c r="E570" s="157"/>
      <c r="F570" s="157"/>
    </row>
    <row r="571" spans="1:7" x14ac:dyDescent="0.25">
      <c r="A571" s="158"/>
      <c r="B571" s="159"/>
      <c r="C571" s="159"/>
      <c r="D571" s="160"/>
      <c r="E571" s="160"/>
      <c r="F571" s="161"/>
    </row>
    <row r="572" spans="1:7" x14ac:dyDescent="0.25">
      <c r="A572" s="158"/>
      <c r="B572" s="159"/>
      <c r="C572" s="159"/>
      <c r="D572" s="160"/>
      <c r="E572" s="160"/>
      <c r="F572" s="161"/>
    </row>
    <row r="573" spans="1:7" x14ac:dyDescent="0.25">
      <c r="A573" s="157"/>
      <c r="B573" s="157"/>
      <c r="C573" s="157"/>
      <c r="D573" s="157"/>
      <c r="E573" s="157"/>
      <c r="F573" s="157"/>
    </row>
    <row r="574" spans="1:7" x14ac:dyDescent="0.25">
      <c r="A574" s="158"/>
      <c r="B574" s="159"/>
      <c r="C574" s="159"/>
      <c r="D574" s="160"/>
      <c r="E574" s="160"/>
      <c r="F574" s="161"/>
    </row>
    <row r="575" spans="1:7" x14ac:dyDescent="0.25">
      <c r="A575" s="158"/>
      <c r="B575" s="159"/>
      <c r="C575" s="159"/>
      <c r="D575" s="160"/>
      <c r="E575" s="160"/>
      <c r="F575" s="161"/>
    </row>
    <row r="576" spans="1:7" x14ac:dyDescent="0.25">
      <c r="A576" s="157"/>
      <c r="B576" s="157"/>
      <c r="C576" s="157"/>
      <c r="D576" s="157"/>
      <c r="E576" s="157"/>
      <c r="F576" s="157"/>
    </row>
    <row r="577" spans="1:6" x14ac:dyDescent="0.25">
      <c r="A577" s="163"/>
      <c r="B577" s="162"/>
      <c r="C577" s="162"/>
      <c r="D577" s="162"/>
      <c r="E577" s="162"/>
      <c r="F577" s="162"/>
    </row>
    <row r="578" spans="1:6" x14ac:dyDescent="0.25">
      <c r="A578" s="163"/>
      <c r="B578" s="157"/>
      <c r="C578" s="157"/>
      <c r="D578" s="157"/>
      <c r="E578" s="157"/>
      <c r="F578" s="157"/>
    </row>
    <row r="579" spans="1:6" x14ac:dyDescent="0.25">
      <c r="A579" s="163"/>
      <c r="B579" s="157"/>
      <c r="C579" s="157"/>
      <c r="D579" s="157"/>
      <c r="E579" s="157"/>
      <c r="F579" s="157"/>
    </row>
    <row r="580" spans="1:6" x14ac:dyDescent="0.25">
      <c r="A580" s="163"/>
      <c r="B580" s="157"/>
      <c r="C580" s="157"/>
      <c r="D580" s="157"/>
      <c r="E580" s="157"/>
      <c r="F580" s="157"/>
    </row>
    <row r="581" spans="1:6" x14ac:dyDescent="0.25">
      <c r="A581" s="163"/>
      <c r="B581" s="157"/>
      <c r="C581" s="157"/>
      <c r="D581" s="157"/>
      <c r="E581" s="157"/>
      <c r="F581" s="157"/>
    </row>
    <row r="582" spans="1:6" x14ac:dyDescent="0.25">
      <c r="A582" s="163"/>
      <c r="B582" s="157"/>
      <c r="C582" s="157"/>
      <c r="D582" s="157"/>
      <c r="E582" s="157"/>
      <c r="F582" s="157"/>
    </row>
    <row r="583" spans="1:6" x14ac:dyDescent="0.25">
      <c r="A583" s="163"/>
      <c r="B583" s="157"/>
      <c r="C583" s="157"/>
      <c r="D583" s="157"/>
      <c r="E583" s="157"/>
      <c r="F583" s="157"/>
    </row>
    <row r="584" spans="1:6" x14ac:dyDescent="0.25">
      <c r="A584" s="163"/>
      <c r="B584" s="157"/>
      <c r="C584" s="157"/>
      <c r="D584" s="157"/>
      <c r="E584" s="157"/>
      <c r="F584" s="157"/>
    </row>
    <row r="585" spans="1:6" x14ac:dyDescent="0.25">
      <c r="A585" s="163"/>
      <c r="B585" s="157"/>
      <c r="C585" s="157"/>
      <c r="D585" s="157"/>
      <c r="E585" s="157"/>
      <c r="F585" s="157"/>
    </row>
    <row r="586" spans="1:6" x14ac:dyDescent="0.25">
      <c r="A586" s="157"/>
      <c r="B586" s="157"/>
      <c r="C586" s="157"/>
      <c r="D586" s="157"/>
      <c r="E586" s="157"/>
      <c r="F586" s="157"/>
    </row>
    <row r="587" spans="1:6" x14ac:dyDescent="0.25">
      <c r="A587" s="163"/>
      <c r="B587" s="157"/>
      <c r="C587" s="157"/>
      <c r="D587" s="157"/>
      <c r="E587" s="157"/>
      <c r="F587" s="157"/>
    </row>
    <row r="588" spans="1:6" x14ac:dyDescent="0.25">
      <c r="A588" s="157"/>
      <c r="B588" s="157"/>
      <c r="C588" s="157"/>
      <c r="D588" s="157"/>
      <c r="E588" s="157"/>
      <c r="F588" s="157"/>
    </row>
    <row r="589" spans="1:6" x14ac:dyDescent="0.25">
      <c r="A589" s="163"/>
      <c r="B589" s="157"/>
      <c r="C589" s="157"/>
      <c r="D589" s="157"/>
      <c r="E589" s="157"/>
      <c r="F589" s="157"/>
    </row>
    <row r="590" spans="1:6" x14ac:dyDescent="0.25">
      <c r="A590" s="157"/>
      <c r="B590" s="157"/>
      <c r="C590" s="157"/>
      <c r="D590" s="157"/>
      <c r="E590" s="157"/>
      <c r="F590" s="157"/>
    </row>
    <row r="591" spans="1:6" x14ac:dyDescent="0.25">
      <c r="A591" s="163"/>
      <c r="B591" s="157"/>
      <c r="C591" s="157"/>
      <c r="D591" s="157"/>
      <c r="E591" s="157"/>
      <c r="F591" s="157"/>
    </row>
    <row r="592" spans="1:6" x14ac:dyDescent="0.25">
      <c r="A592" s="157"/>
      <c r="B592" s="157"/>
      <c r="C592" s="157"/>
      <c r="D592" s="157"/>
      <c r="E592" s="157"/>
      <c r="F592" s="157"/>
    </row>
    <row r="593" spans="1:6" x14ac:dyDescent="0.25">
      <c r="A593" s="163"/>
      <c r="B593" s="157"/>
      <c r="C593" s="157"/>
      <c r="D593" s="157"/>
      <c r="E593" s="157"/>
      <c r="F593" s="157"/>
    </row>
    <row r="594" spans="1:6" x14ac:dyDescent="0.25">
      <c r="A594" s="157"/>
      <c r="B594" s="157"/>
      <c r="C594" s="157"/>
      <c r="D594" s="157"/>
      <c r="E594" s="157"/>
      <c r="F594" s="157"/>
    </row>
    <row r="595" spans="1:6" x14ac:dyDescent="0.25">
      <c r="A595" s="163"/>
      <c r="B595" s="157"/>
      <c r="C595" s="157"/>
      <c r="D595" s="157"/>
      <c r="E595" s="157"/>
      <c r="F595" s="157"/>
    </row>
    <row r="596" spans="1:6" x14ac:dyDescent="0.25">
      <c r="A596" s="157"/>
      <c r="B596" s="157"/>
      <c r="C596" s="157"/>
      <c r="D596" s="157"/>
      <c r="E596" s="157"/>
      <c r="F596" s="157"/>
    </row>
    <row r="597" spans="1:6" x14ac:dyDescent="0.25">
      <c r="A597" s="163"/>
      <c r="B597" s="157"/>
      <c r="C597" s="157"/>
      <c r="D597" s="157"/>
      <c r="E597" s="157"/>
      <c r="F597" s="157"/>
    </row>
    <row r="598" spans="1:6" x14ac:dyDescent="0.25">
      <c r="A598" s="157"/>
      <c r="B598" s="157"/>
      <c r="C598" s="157"/>
      <c r="D598" s="157"/>
      <c r="E598" s="157"/>
      <c r="F598" s="157"/>
    </row>
    <row r="599" spans="1:6" x14ac:dyDescent="0.25">
      <c r="A599" s="163"/>
      <c r="B599" s="157"/>
      <c r="C599" s="157"/>
      <c r="D599" s="157"/>
      <c r="E599" s="157"/>
      <c r="F599" s="157"/>
    </row>
    <row r="600" spans="1:6" x14ac:dyDescent="0.25">
      <c r="A600" s="157"/>
      <c r="B600" s="157"/>
      <c r="C600" s="157"/>
      <c r="D600" s="157"/>
      <c r="E600" s="157"/>
      <c r="F600" s="157"/>
    </row>
    <row r="601" spans="1:6" x14ac:dyDescent="0.25">
      <c r="A601" s="163"/>
      <c r="B601" s="157"/>
      <c r="C601" s="157"/>
      <c r="D601" s="157"/>
      <c r="E601" s="157"/>
      <c r="F601" s="157"/>
    </row>
    <row r="602" spans="1:6" x14ac:dyDescent="0.25">
      <c r="A602" s="157"/>
      <c r="B602" s="157"/>
      <c r="C602" s="157"/>
      <c r="D602" s="157"/>
      <c r="E602" s="157"/>
      <c r="F602" s="157"/>
    </row>
    <row r="603" spans="1:6" x14ac:dyDescent="0.25">
      <c r="A603" s="163"/>
      <c r="B603" s="157"/>
      <c r="C603" s="157"/>
      <c r="D603" s="157"/>
      <c r="E603" s="157"/>
      <c r="F603" s="157"/>
    </row>
    <row r="604" spans="1:6" x14ac:dyDescent="0.25">
      <c r="A604" s="157"/>
      <c r="B604" s="157"/>
      <c r="C604" s="157"/>
      <c r="D604" s="157"/>
      <c r="E604" s="157"/>
      <c r="F604" s="157"/>
    </row>
    <row r="605" spans="1:6" x14ac:dyDescent="0.25">
      <c r="A605" s="163"/>
      <c r="B605" s="157"/>
      <c r="C605" s="157"/>
      <c r="D605" s="157"/>
      <c r="E605" s="157"/>
      <c r="F605" s="157"/>
    </row>
    <row r="606" spans="1:6" x14ac:dyDescent="0.25">
      <c r="A606" s="157"/>
      <c r="B606" s="157"/>
      <c r="C606" s="157"/>
      <c r="D606" s="157"/>
      <c r="E606" s="157"/>
      <c r="F606" s="157"/>
    </row>
    <row r="607" spans="1:6" x14ac:dyDescent="0.25">
      <c r="A607" s="163"/>
      <c r="B607" s="157"/>
      <c r="C607" s="157"/>
      <c r="D607" s="157"/>
      <c r="E607" s="157"/>
      <c r="F607" s="157"/>
    </row>
    <row r="608" spans="1:6" x14ac:dyDescent="0.25">
      <c r="A608" s="157"/>
      <c r="B608" s="157"/>
      <c r="C608" s="157"/>
      <c r="D608" s="157"/>
      <c r="E608" s="157"/>
      <c r="F608" s="157"/>
    </row>
    <row r="609" spans="1:6" x14ac:dyDescent="0.25">
      <c r="A609" s="163"/>
      <c r="B609" s="157"/>
      <c r="C609" s="157"/>
      <c r="D609" s="157"/>
      <c r="E609" s="157"/>
      <c r="F609" s="157"/>
    </row>
    <row r="610" spans="1:6" x14ac:dyDescent="0.25">
      <c r="A610" s="157"/>
      <c r="B610" s="157"/>
      <c r="C610" s="157"/>
      <c r="D610" s="157"/>
      <c r="E610" s="157"/>
      <c r="F610" s="157"/>
    </row>
    <row r="611" spans="1:6" x14ac:dyDescent="0.25">
      <c r="A611" s="163"/>
      <c r="B611" s="157"/>
      <c r="C611" s="157"/>
      <c r="D611" s="157"/>
      <c r="E611" s="157"/>
      <c r="F611" s="157"/>
    </row>
    <row r="612" spans="1:6" x14ac:dyDescent="0.25">
      <c r="A612" s="157"/>
      <c r="B612" s="157"/>
      <c r="C612" s="157"/>
      <c r="D612" s="157"/>
      <c r="E612" s="157"/>
      <c r="F612" s="157"/>
    </row>
    <row r="613" spans="1:6" x14ac:dyDescent="0.25">
      <c r="A613" s="163"/>
      <c r="B613" s="157"/>
      <c r="C613" s="157"/>
      <c r="D613" s="157"/>
      <c r="E613" s="157"/>
      <c r="F613" s="157"/>
    </row>
    <row r="614" spans="1:6" x14ac:dyDescent="0.25">
      <c r="A614" s="157"/>
      <c r="B614" s="157"/>
      <c r="C614" s="157"/>
      <c r="D614" s="157"/>
      <c r="E614" s="157"/>
      <c r="F614" s="157"/>
    </row>
    <row r="615" spans="1:6" x14ac:dyDescent="0.25">
      <c r="A615" s="163"/>
      <c r="B615" s="157"/>
      <c r="C615" s="157"/>
      <c r="D615" s="157"/>
      <c r="E615" s="157"/>
      <c r="F615" s="157"/>
    </row>
    <row r="616" spans="1:6" x14ac:dyDescent="0.25">
      <c r="A616" s="157"/>
      <c r="B616" s="157"/>
      <c r="C616" s="157"/>
      <c r="D616" s="157"/>
      <c r="E616" s="157"/>
      <c r="F616" s="157"/>
    </row>
    <row r="617" spans="1:6" x14ac:dyDescent="0.25">
      <c r="A617" s="163"/>
      <c r="B617" s="157"/>
      <c r="C617" s="157"/>
      <c r="D617" s="157"/>
      <c r="E617" s="157"/>
      <c r="F617" s="157"/>
    </row>
    <row r="618" spans="1:6" x14ac:dyDescent="0.25">
      <c r="A618" s="157"/>
      <c r="B618" s="157"/>
      <c r="C618" s="157"/>
      <c r="D618" s="157"/>
      <c r="E618" s="157"/>
      <c r="F618" s="157"/>
    </row>
    <row r="619" spans="1:6" x14ac:dyDescent="0.25">
      <c r="A619" s="163"/>
      <c r="B619" s="157"/>
      <c r="C619" s="157"/>
      <c r="D619" s="157"/>
      <c r="E619" s="157"/>
      <c r="F619" s="157"/>
    </row>
    <row r="620" spans="1:6" x14ac:dyDescent="0.25">
      <c r="A620" s="157"/>
      <c r="B620" s="157"/>
      <c r="C620" s="157"/>
      <c r="D620" s="157"/>
      <c r="E620" s="157"/>
      <c r="F620" s="157"/>
    </row>
    <row r="621" spans="1:6" x14ac:dyDescent="0.25">
      <c r="A621" s="163"/>
      <c r="B621" s="157"/>
      <c r="C621" s="157"/>
      <c r="D621" s="157"/>
      <c r="E621" s="157"/>
      <c r="F621" s="157"/>
    </row>
    <row r="622" spans="1:6" x14ac:dyDescent="0.25">
      <c r="A622" s="163"/>
      <c r="B622" s="157"/>
      <c r="C622" s="157"/>
      <c r="D622" s="157"/>
      <c r="E622" s="157"/>
      <c r="F622" s="157"/>
    </row>
    <row r="623" spans="1:6" x14ac:dyDescent="0.25">
      <c r="A623" s="157"/>
      <c r="B623" s="157"/>
      <c r="C623" s="157"/>
      <c r="D623" s="157"/>
      <c r="E623" s="157"/>
      <c r="F623" s="157"/>
    </row>
    <row r="624" spans="1:6" x14ac:dyDescent="0.25">
      <c r="A624" s="163"/>
      <c r="B624" s="157"/>
      <c r="C624" s="157"/>
      <c r="D624" s="157"/>
      <c r="E624" s="157"/>
      <c r="F624" s="157"/>
    </row>
    <row r="625" spans="1:6" x14ac:dyDescent="0.25">
      <c r="A625" s="157"/>
      <c r="B625" s="157"/>
      <c r="C625" s="157"/>
      <c r="D625" s="157"/>
      <c r="E625" s="157"/>
      <c r="F625" s="157"/>
    </row>
    <row r="626" spans="1:6" x14ac:dyDescent="0.25">
      <c r="A626" s="163"/>
      <c r="B626" s="157"/>
      <c r="C626" s="157"/>
      <c r="D626" s="157"/>
      <c r="E626" s="157"/>
      <c r="F626" s="157"/>
    </row>
    <row r="627" spans="1:6" x14ac:dyDescent="0.25">
      <c r="A627" s="157"/>
      <c r="B627" s="157"/>
      <c r="C627" s="157"/>
      <c r="D627" s="157"/>
      <c r="E627" s="157"/>
      <c r="F627" s="157"/>
    </row>
    <row r="628" spans="1:6" x14ac:dyDescent="0.25">
      <c r="A628" s="163"/>
      <c r="B628" s="157"/>
      <c r="C628" s="157"/>
      <c r="D628" s="157"/>
      <c r="E628" s="157"/>
      <c r="F628" s="157"/>
    </row>
    <row r="629" spans="1:6" x14ac:dyDescent="0.25">
      <c r="A629" s="157"/>
      <c r="B629" s="157"/>
      <c r="C629" s="157"/>
      <c r="D629" s="157"/>
      <c r="E629" s="157"/>
      <c r="F629" s="157"/>
    </row>
    <row r="630" spans="1:6" x14ac:dyDescent="0.25">
      <c r="A630" s="163"/>
      <c r="B630" s="157"/>
      <c r="C630" s="157"/>
      <c r="D630" s="157"/>
      <c r="E630" s="157"/>
      <c r="F630" s="157"/>
    </row>
    <row r="631" spans="1:6" x14ac:dyDescent="0.25">
      <c r="A631" s="157"/>
      <c r="B631" s="157"/>
      <c r="C631" s="157"/>
      <c r="D631" s="157"/>
      <c r="E631" s="157"/>
      <c r="F631" s="157"/>
    </row>
    <row r="632" spans="1:6" x14ac:dyDescent="0.25">
      <c r="A632" s="163"/>
      <c r="B632" s="157"/>
      <c r="C632" s="157"/>
      <c r="D632" s="157"/>
      <c r="E632" s="157"/>
      <c r="F632" s="157"/>
    </row>
    <row r="633" spans="1:6" x14ac:dyDescent="0.25">
      <c r="A633" s="157"/>
      <c r="B633" s="157"/>
      <c r="C633" s="157"/>
      <c r="D633" s="157"/>
      <c r="E633" s="157"/>
      <c r="F633" s="157"/>
    </row>
    <row r="634" spans="1:6" x14ac:dyDescent="0.25">
      <c r="A634" s="163"/>
      <c r="B634" s="157"/>
      <c r="C634" s="157"/>
      <c r="D634" s="157"/>
      <c r="E634" s="157"/>
      <c r="F634" s="157"/>
    </row>
    <row r="635" spans="1:6" x14ac:dyDescent="0.25">
      <c r="A635" s="163"/>
      <c r="B635" s="157"/>
      <c r="C635" s="157"/>
      <c r="D635" s="157"/>
      <c r="E635" s="157"/>
      <c r="F635" s="157"/>
    </row>
    <row r="636" spans="1:6" x14ac:dyDescent="0.25">
      <c r="A636" s="163"/>
      <c r="B636" s="157"/>
      <c r="C636" s="157"/>
      <c r="D636" s="157"/>
      <c r="E636" s="157"/>
      <c r="F636" s="157"/>
    </row>
    <row r="637" spans="1:6" x14ac:dyDescent="0.25">
      <c r="A637" s="163"/>
      <c r="B637" s="157"/>
      <c r="C637" s="157"/>
      <c r="D637" s="157"/>
      <c r="E637" s="157"/>
      <c r="F637" s="157"/>
    </row>
    <row r="638" spans="1:6" x14ac:dyDescent="0.25">
      <c r="A638" s="157"/>
      <c r="B638" s="157"/>
      <c r="C638" s="157"/>
      <c r="D638" s="157"/>
      <c r="E638" s="157"/>
      <c r="F638" s="157"/>
    </row>
    <row r="639" spans="1:6" x14ac:dyDescent="0.25">
      <c r="A639" s="163"/>
      <c r="B639" s="157"/>
      <c r="C639" s="157"/>
      <c r="D639" s="157"/>
      <c r="E639" s="157"/>
      <c r="F639" s="157"/>
    </row>
    <row r="640" spans="1:6" x14ac:dyDescent="0.25">
      <c r="A640" s="163"/>
      <c r="B640" s="157"/>
      <c r="C640" s="157"/>
      <c r="D640" s="157"/>
      <c r="E640" s="157"/>
      <c r="F640" s="157"/>
    </row>
    <row r="641" spans="1:6" x14ac:dyDescent="0.25">
      <c r="A641" s="163"/>
      <c r="B641" s="157"/>
      <c r="C641" s="157"/>
      <c r="D641" s="157"/>
      <c r="E641" s="157"/>
      <c r="F641" s="157"/>
    </row>
    <row r="642" spans="1:6" x14ac:dyDescent="0.25">
      <c r="A642" s="163"/>
      <c r="B642" s="157"/>
      <c r="C642" s="157"/>
      <c r="D642" s="157"/>
      <c r="E642" s="157"/>
      <c r="F642" s="157"/>
    </row>
    <row r="643" spans="1:6" x14ac:dyDescent="0.25">
      <c r="A643" s="163"/>
      <c r="B643" s="157"/>
      <c r="C643" s="157"/>
      <c r="D643" s="157"/>
      <c r="E643" s="157"/>
      <c r="F643" s="157"/>
    </row>
    <row r="644" spans="1:6" x14ac:dyDescent="0.25">
      <c r="A644" s="163"/>
      <c r="B644" s="157"/>
      <c r="C644" s="157"/>
      <c r="D644" s="157"/>
      <c r="E644" s="157"/>
      <c r="F644" s="157"/>
    </row>
    <row r="645" spans="1:6" x14ac:dyDescent="0.25">
      <c r="A645" s="163"/>
      <c r="B645" s="157"/>
      <c r="C645" s="157"/>
      <c r="D645" s="157"/>
      <c r="E645" s="157"/>
      <c r="F645" s="157"/>
    </row>
    <row r="646" spans="1:6" x14ac:dyDescent="0.25">
      <c r="A646" s="163"/>
      <c r="B646" s="157"/>
      <c r="C646" s="157"/>
      <c r="D646" s="157"/>
      <c r="E646" s="157"/>
      <c r="F646" s="157"/>
    </row>
    <row r="647" spans="1:6" x14ac:dyDescent="0.25">
      <c r="A647" s="163"/>
      <c r="B647" s="157"/>
      <c r="C647" s="157"/>
      <c r="D647" s="157"/>
      <c r="E647" s="157"/>
      <c r="F647" s="157"/>
    </row>
    <row r="648" spans="1:6" x14ac:dyDescent="0.25">
      <c r="A648" s="163"/>
      <c r="B648" s="157"/>
      <c r="C648" s="157"/>
      <c r="D648" s="157"/>
      <c r="E648" s="157"/>
      <c r="F648" s="157"/>
    </row>
    <row r="649" spans="1:6" x14ac:dyDescent="0.25">
      <c r="A649" s="163"/>
      <c r="B649" s="157"/>
      <c r="C649" s="157"/>
      <c r="D649" s="157"/>
      <c r="E649" s="157"/>
      <c r="F649" s="157"/>
    </row>
    <row r="650" spans="1:6" x14ac:dyDescent="0.25">
      <c r="A650" s="163"/>
      <c r="B650" s="157"/>
      <c r="C650" s="157"/>
      <c r="D650" s="157"/>
      <c r="E650" s="157"/>
      <c r="F650" s="157"/>
    </row>
    <row r="651" spans="1:6" x14ac:dyDescent="0.25">
      <c r="A651" s="163"/>
      <c r="B651" s="157"/>
      <c r="C651" s="157"/>
      <c r="D651" s="157"/>
      <c r="E651" s="157"/>
      <c r="F651" s="157"/>
    </row>
    <row r="652" spans="1:6" x14ac:dyDescent="0.25">
      <c r="A652" s="163"/>
      <c r="B652" s="157"/>
      <c r="C652" s="157"/>
      <c r="D652" s="157"/>
      <c r="E652" s="157"/>
      <c r="F652" s="157"/>
    </row>
    <row r="653" spans="1:6" x14ac:dyDescent="0.25">
      <c r="A653" s="163"/>
      <c r="B653" s="157"/>
      <c r="C653" s="157"/>
      <c r="D653" s="157"/>
      <c r="E653" s="157"/>
      <c r="F653" s="157"/>
    </row>
    <row r="654" spans="1:6" x14ac:dyDescent="0.25">
      <c r="A654" s="163"/>
      <c r="B654" s="157"/>
      <c r="C654" s="157"/>
      <c r="D654" s="157"/>
      <c r="E654" s="157"/>
      <c r="F654" s="157"/>
    </row>
    <row r="655" spans="1:6" x14ac:dyDescent="0.25">
      <c r="A655" s="163"/>
      <c r="B655" s="157"/>
      <c r="C655" s="157"/>
      <c r="D655" s="157"/>
      <c r="E655" s="157"/>
      <c r="F655" s="157"/>
    </row>
    <row r="656" spans="1:6" x14ac:dyDescent="0.25">
      <c r="A656" s="163"/>
      <c r="B656" s="157"/>
      <c r="C656" s="157"/>
      <c r="D656" s="157"/>
      <c r="E656" s="157"/>
      <c r="F656" s="157"/>
    </row>
    <row r="657" spans="1:6" x14ac:dyDescent="0.25">
      <c r="A657" s="163"/>
      <c r="B657" s="157"/>
      <c r="C657" s="157"/>
      <c r="D657" s="157"/>
      <c r="E657" s="157"/>
      <c r="F657" s="157"/>
    </row>
    <row r="658" spans="1:6" x14ac:dyDescent="0.25">
      <c r="A658" s="163"/>
      <c r="B658" s="157"/>
      <c r="C658" s="157"/>
      <c r="D658" s="157"/>
      <c r="E658" s="157"/>
      <c r="F658" s="157"/>
    </row>
    <row r="659" spans="1:6" x14ac:dyDescent="0.25">
      <c r="A659" s="163"/>
      <c r="B659" s="157"/>
      <c r="C659" s="157"/>
      <c r="D659" s="157"/>
      <c r="E659" s="157"/>
      <c r="F659" s="157"/>
    </row>
    <row r="660" spans="1:6" x14ac:dyDescent="0.25">
      <c r="A660" s="163"/>
      <c r="B660" s="157"/>
      <c r="C660" s="157"/>
      <c r="D660" s="157"/>
      <c r="E660" s="157"/>
      <c r="F660" s="157"/>
    </row>
    <row r="661" spans="1:6" x14ac:dyDescent="0.25">
      <c r="A661" s="163"/>
      <c r="B661" s="157"/>
      <c r="C661" s="157"/>
      <c r="D661" s="157"/>
      <c r="E661" s="157"/>
      <c r="F661" s="157"/>
    </row>
    <row r="662" spans="1:6" x14ac:dyDescent="0.25">
      <c r="A662" s="158"/>
      <c r="B662" s="159"/>
      <c r="C662" s="159"/>
      <c r="D662" s="160"/>
      <c r="E662" s="160"/>
      <c r="F662" s="161"/>
    </row>
    <row r="663" spans="1:6" x14ac:dyDescent="0.25">
      <c r="A663" s="158"/>
      <c r="B663" s="159"/>
      <c r="C663" s="159"/>
      <c r="D663" s="160"/>
      <c r="E663" s="160"/>
      <c r="F663" s="161"/>
    </row>
    <row r="664" spans="1:6" x14ac:dyDescent="0.25">
      <c r="A664" s="163"/>
      <c r="B664" s="157"/>
      <c r="C664" s="157"/>
      <c r="D664" s="157"/>
      <c r="E664" s="157"/>
      <c r="F664" s="157"/>
    </row>
    <row r="665" spans="1:6" x14ac:dyDescent="0.25">
      <c r="A665" s="157"/>
      <c r="B665" s="157"/>
      <c r="C665" s="157"/>
      <c r="D665" s="157"/>
      <c r="E665" s="157"/>
      <c r="F665" s="157"/>
    </row>
    <row r="666" spans="1:6" x14ac:dyDescent="0.25">
      <c r="A666" s="163"/>
      <c r="B666" s="157"/>
      <c r="C666" s="157"/>
      <c r="D666" s="157"/>
      <c r="E666" s="157"/>
      <c r="F666" s="157"/>
    </row>
    <row r="667" spans="1:6" x14ac:dyDescent="0.25">
      <c r="A667" s="163"/>
      <c r="B667" s="157"/>
      <c r="C667" s="157"/>
      <c r="D667" s="157"/>
      <c r="E667" s="157"/>
      <c r="F667" s="157"/>
    </row>
    <row r="668" spans="1:6" x14ac:dyDescent="0.25">
      <c r="A668" s="163"/>
      <c r="B668" s="157"/>
      <c r="C668" s="157"/>
      <c r="D668" s="157"/>
      <c r="E668" s="157"/>
      <c r="F668" s="157"/>
    </row>
    <row r="669" spans="1:6" x14ac:dyDescent="0.25">
      <c r="A669" s="163"/>
      <c r="B669" s="157"/>
      <c r="C669" s="157"/>
      <c r="D669" s="157"/>
      <c r="E669" s="157"/>
      <c r="F669" s="157"/>
    </row>
    <row r="670" spans="1:6" x14ac:dyDescent="0.25">
      <c r="A670" s="163"/>
      <c r="B670" s="157"/>
      <c r="C670" s="157"/>
      <c r="D670" s="157"/>
      <c r="E670" s="157"/>
      <c r="F670" s="157"/>
    </row>
    <row r="672" spans="1:6" x14ac:dyDescent="0.25">
      <c r="A672" s="163"/>
    </row>
    <row r="673" spans="1:1" x14ac:dyDescent="0.25">
      <c r="A673" s="163"/>
    </row>
    <row r="674" spans="1:1" x14ac:dyDescent="0.25">
      <c r="A674" s="163"/>
    </row>
    <row r="675" spans="1:1" x14ac:dyDescent="0.25">
      <c r="A675" s="163"/>
    </row>
    <row r="676" spans="1:1" x14ac:dyDescent="0.25">
      <c r="A676" s="163"/>
    </row>
    <row r="677" spans="1:1" x14ac:dyDescent="0.25">
      <c r="A677" s="163"/>
    </row>
    <row r="678" spans="1:1" x14ac:dyDescent="0.25">
      <c r="A678" s="163"/>
    </row>
    <row r="679" spans="1:1" x14ac:dyDescent="0.25">
      <c r="A679" s="163"/>
    </row>
    <row r="680" spans="1:1" x14ac:dyDescent="0.25">
      <c r="A680" s="163"/>
    </row>
    <row r="681" spans="1:1" x14ac:dyDescent="0.25">
      <c r="A681" s="163"/>
    </row>
    <row r="682" spans="1:1" x14ac:dyDescent="0.25">
      <c r="A682" s="163"/>
    </row>
    <row r="683" spans="1:1" x14ac:dyDescent="0.25">
      <c r="A683" s="163"/>
    </row>
    <row r="684" spans="1:1" x14ac:dyDescent="0.25">
      <c r="A684" s="163"/>
    </row>
    <row r="685" spans="1:1" x14ac:dyDescent="0.25">
      <c r="A685" s="163"/>
    </row>
    <row r="686" spans="1:1" x14ac:dyDescent="0.25">
      <c r="A686" s="163"/>
    </row>
    <row r="687" spans="1:1" x14ac:dyDescent="0.25">
      <c r="A687" s="163"/>
    </row>
    <row r="688" spans="1:1" x14ac:dyDescent="0.25">
      <c r="A688" s="163"/>
    </row>
    <row r="689" spans="1:1" x14ac:dyDescent="0.25">
      <c r="A689" s="163"/>
    </row>
    <row r="690" spans="1:1" x14ac:dyDescent="0.25">
      <c r="A690" s="163"/>
    </row>
    <row r="691" spans="1:1" x14ac:dyDescent="0.25">
      <c r="A691" s="163"/>
    </row>
    <row r="692" spans="1:1" x14ac:dyDescent="0.25">
      <c r="A692" s="163"/>
    </row>
    <row r="693" spans="1:1" x14ac:dyDescent="0.25">
      <c r="A693" s="163"/>
    </row>
    <row r="694" spans="1:1" x14ac:dyDescent="0.25">
      <c r="A694" s="163"/>
    </row>
    <row r="695" spans="1:1" x14ac:dyDescent="0.25">
      <c r="A695" s="163"/>
    </row>
    <row r="696" spans="1:1" x14ac:dyDescent="0.25">
      <c r="A696" s="163"/>
    </row>
    <row r="697" spans="1:1" x14ac:dyDescent="0.25">
      <c r="A697" s="163"/>
    </row>
    <row r="698" spans="1:1" x14ac:dyDescent="0.25">
      <c r="A698" s="163"/>
    </row>
    <row r="699" spans="1:1" x14ac:dyDescent="0.25">
      <c r="A699" s="163"/>
    </row>
    <row r="700" spans="1:1" x14ac:dyDescent="0.25">
      <c r="A700" s="163"/>
    </row>
    <row r="701" spans="1:1" x14ac:dyDescent="0.25">
      <c r="A701" s="163"/>
    </row>
    <row r="702" spans="1:1" x14ac:dyDescent="0.25">
      <c r="A702" s="163"/>
    </row>
    <row r="703" spans="1:1" x14ac:dyDescent="0.25">
      <c r="A703" s="163"/>
    </row>
    <row r="704" spans="1:1" x14ac:dyDescent="0.25">
      <c r="A704" s="163"/>
    </row>
    <row r="705" spans="1:1" x14ac:dyDescent="0.25">
      <c r="A705" s="163"/>
    </row>
    <row r="706" spans="1:1" x14ac:dyDescent="0.25">
      <c r="A706" s="163"/>
    </row>
    <row r="707" spans="1:1" x14ac:dyDescent="0.25">
      <c r="A707" s="163"/>
    </row>
    <row r="708" spans="1:1" x14ac:dyDescent="0.25">
      <c r="A708" s="163"/>
    </row>
    <row r="709" spans="1:1" x14ac:dyDescent="0.25">
      <c r="A709" s="163"/>
    </row>
    <row r="710" spans="1:1" x14ac:dyDescent="0.25">
      <c r="A710" s="163"/>
    </row>
    <row r="711" spans="1:1" x14ac:dyDescent="0.25">
      <c r="A711" s="163"/>
    </row>
    <row r="712" spans="1:1" x14ac:dyDescent="0.25">
      <c r="A712" s="163"/>
    </row>
    <row r="713" spans="1:1" x14ac:dyDescent="0.25">
      <c r="A713" s="163"/>
    </row>
    <row r="714" spans="1:1" x14ac:dyDescent="0.25">
      <c r="A714" s="163"/>
    </row>
    <row r="715" spans="1:1" x14ac:dyDescent="0.25">
      <c r="A715" s="163"/>
    </row>
    <row r="716" spans="1:1" x14ac:dyDescent="0.25">
      <c r="A716" s="163"/>
    </row>
    <row r="717" spans="1:1" x14ac:dyDescent="0.25">
      <c r="A717" s="163"/>
    </row>
    <row r="718" spans="1:1" x14ac:dyDescent="0.25">
      <c r="A718" s="163"/>
    </row>
    <row r="719" spans="1:1" x14ac:dyDescent="0.25">
      <c r="A719" s="163"/>
    </row>
    <row r="720" spans="1:1" x14ac:dyDescent="0.25">
      <c r="A720" s="163"/>
    </row>
    <row r="721" spans="1:1" x14ac:dyDescent="0.25">
      <c r="A721" s="163"/>
    </row>
    <row r="722" spans="1:1" x14ac:dyDescent="0.25">
      <c r="A722" s="163"/>
    </row>
    <row r="723" spans="1:1" x14ac:dyDescent="0.25">
      <c r="A723" s="163"/>
    </row>
    <row r="724" spans="1:1" x14ac:dyDescent="0.25">
      <c r="A724" s="163"/>
    </row>
    <row r="725" spans="1:1" x14ac:dyDescent="0.25">
      <c r="A725" s="163"/>
    </row>
    <row r="726" spans="1:1" x14ac:dyDescent="0.25">
      <c r="A726" s="163"/>
    </row>
    <row r="727" spans="1:1" x14ac:dyDescent="0.25">
      <c r="A727" s="163"/>
    </row>
    <row r="728" spans="1:1" x14ac:dyDescent="0.25">
      <c r="A728" s="163"/>
    </row>
    <row r="729" spans="1:1" x14ac:dyDescent="0.25">
      <c r="A729" s="163"/>
    </row>
    <row r="730" spans="1:1" x14ac:dyDescent="0.25">
      <c r="A730" s="163"/>
    </row>
    <row r="731" spans="1:1" x14ac:dyDescent="0.25">
      <c r="A731" s="163"/>
    </row>
    <row r="732" spans="1:1" x14ac:dyDescent="0.25">
      <c r="A732" s="163"/>
    </row>
    <row r="733" spans="1:1" x14ac:dyDescent="0.25">
      <c r="A733" s="163"/>
    </row>
    <row r="734" spans="1:1" x14ac:dyDescent="0.25">
      <c r="A734" s="163"/>
    </row>
    <row r="735" spans="1:1" x14ac:dyDescent="0.25">
      <c r="A735" s="163"/>
    </row>
    <row r="736" spans="1:1" x14ac:dyDescent="0.25">
      <c r="A736" s="163"/>
    </row>
    <row r="737" spans="1:1" x14ac:dyDescent="0.25">
      <c r="A737" s="163"/>
    </row>
    <row r="738" spans="1:1" x14ac:dyDescent="0.25">
      <c r="A738" s="163"/>
    </row>
    <row r="739" spans="1:1" x14ac:dyDescent="0.25">
      <c r="A739" s="163"/>
    </row>
    <row r="740" spans="1:1" x14ac:dyDescent="0.25">
      <c r="A740" s="163"/>
    </row>
    <row r="741" spans="1:1" x14ac:dyDescent="0.25">
      <c r="A741" s="163"/>
    </row>
    <row r="742" spans="1:1" x14ac:dyDescent="0.25">
      <c r="A742" s="163"/>
    </row>
    <row r="743" spans="1:1" x14ac:dyDescent="0.25">
      <c r="A743" s="163"/>
    </row>
    <row r="744" spans="1:1" x14ac:dyDescent="0.25">
      <c r="A744" s="163"/>
    </row>
    <row r="745" spans="1:1" x14ac:dyDescent="0.25">
      <c r="A745" s="163"/>
    </row>
    <row r="746" spans="1:1" x14ac:dyDescent="0.25">
      <c r="A746" s="163"/>
    </row>
    <row r="747" spans="1:1" x14ac:dyDescent="0.25">
      <c r="A747" s="163"/>
    </row>
    <row r="748" spans="1:1" x14ac:dyDescent="0.25">
      <c r="A748" s="163"/>
    </row>
    <row r="749" spans="1:1" x14ac:dyDescent="0.25">
      <c r="A749" s="163"/>
    </row>
    <row r="750" spans="1:1" x14ac:dyDescent="0.25">
      <c r="A750" s="163"/>
    </row>
    <row r="751" spans="1:1" x14ac:dyDescent="0.25">
      <c r="A751" s="163"/>
    </row>
    <row r="752" spans="1:1" x14ac:dyDescent="0.25">
      <c r="A752" s="163"/>
    </row>
    <row r="753" spans="1:1" x14ac:dyDescent="0.25">
      <c r="A753" s="163"/>
    </row>
    <row r="754" spans="1:1" x14ac:dyDescent="0.25">
      <c r="A754" s="163"/>
    </row>
    <row r="755" spans="1:1" x14ac:dyDescent="0.25">
      <c r="A755" s="163"/>
    </row>
    <row r="756" spans="1:1" x14ac:dyDescent="0.25">
      <c r="A756" s="163"/>
    </row>
    <row r="757" spans="1:1" x14ac:dyDescent="0.25">
      <c r="A757" s="163"/>
    </row>
    <row r="758" spans="1:1" x14ac:dyDescent="0.25">
      <c r="A758" s="163"/>
    </row>
    <row r="759" spans="1:1" x14ac:dyDescent="0.25">
      <c r="A759" s="163"/>
    </row>
    <row r="760" spans="1:1" x14ac:dyDescent="0.25">
      <c r="A760" s="163"/>
    </row>
    <row r="761" spans="1:1" x14ac:dyDescent="0.25">
      <c r="A761" s="163"/>
    </row>
    <row r="762" spans="1:1" x14ac:dyDescent="0.25">
      <c r="A762" s="163"/>
    </row>
    <row r="763" spans="1:1" x14ac:dyDescent="0.25">
      <c r="A763" s="163"/>
    </row>
    <row r="764" spans="1:1" x14ac:dyDescent="0.25">
      <c r="A764" s="163"/>
    </row>
    <row r="765" spans="1:1" x14ac:dyDescent="0.25">
      <c r="A765" s="163"/>
    </row>
    <row r="766" spans="1:1" x14ac:dyDescent="0.25">
      <c r="A766" s="163"/>
    </row>
    <row r="767" spans="1:1" x14ac:dyDescent="0.25">
      <c r="A767" s="163"/>
    </row>
    <row r="768" spans="1:1" x14ac:dyDescent="0.25">
      <c r="A768" s="163"/>
    </row>
    <row r="769" spans="1:1" x14ac:dyDescent="0.25">
      <c r="A769" s="163"/>
    </row>
    <row r="770" spans="1:1" x14ac:dyDescent="0.25">
      <c r="A770" s="163"/>
    </row>
    <row r="771" spans="1:1" x14ac:dyDescent="0.25">
      <c r="A771" s="163"/>
    </row>
    <row r="772" spans="1:1" x14ac:dyDescent="0.25">
      <c r="A772" s="163"/>
    </row>
    <row r="773" spans="1:1" x14ac:dyDescent="0.25">
      <c r="A773" s="163"/>
    </row>
    <row r="774" spans="1:1" x14ac:dyDescent="0.25">
      <c r="A774" s="163"/>
    </row>
    <row r="775" spans="1:1" x14ac:dyDescent="0.25">
      <c r="A775" s="163"/>
    </row>
    <row r="776" spans="1:1" x14ac:dyDescent="0.25">
      <c r="A776" s="163"/>
    </row>
    <row r="777" spans="1:1" x14ac:dyDescent="0.25">
      <c r="A777" s="163"/>
    </row>
    <row r="778" spans="1:1" x14ac:dyDescent="0.25">
      <c r="A778" s="163"/>
    </row>
    <row r="779" spans="1:1" x14ac:dyDescent="0.25">
      <c r="A779" s="163"/>
    </row>
    <row r="780" spans="1:1" x14ac:dyDescent="0.25">
      <c r="A780" s="163"/>
    </row>
    <row r="781" spans="1:1" x14ac:dyDescent="0.25">
      <c r="A781" s="163"/>
    </row>
    <row r="782" spans="1:1" x14ac:dyDescent="0.25">
      <c r="A782" s="163"/>
    </row>
    <row r="783" spans="1:1" x14ac:dyDescent="0.25">
      <c r="A783" s="163"/>
    </row>
    <row r="784" spans="1:1" x14ac:dyDescent="0.25">
      <c r="A784" s="163"/>
    </row>
    <row r="785" spans="1:1" x14ac:dyDescent="0.25">
      <c r="A785" s="163"/>
    </row>
    <row r="786" spans="1:1" x14ac:dyDescent="0.25">
      <c r="A786" s="163"/>
    </row>
    <row r="787" spans="1:1" x14ac:dyDescent="0.25">
      <c r="A787" s="163"/>
    </row>
    <row r="788" spans="1:1" x14ac:dyDescent="0.25">
      <c r="A788" s="163"/>
    </row>
    <row r="789" spans="1:1" x14ac:dyDescent="0.25">
      <c r="A789" s="163"/>
    </row>
    <row r="790" spans="1:1" x14ac:dyDescent="0.25">
      <c r="A790" s="163"/>
    </row>
    <row r="791" spans="1:1" x14ac:dyDescent="0.25">
      <c r="A791" s="163"/>
    </row>
    <row r="792" spans="1:1" x14ac:dyDescent="0.25">
      <c r="A792" s="163"/>
    </row>
    <row r="793" spans="1:1" x14ac:dyDescent="0.25">
      <c r="A793" s="163"/>
    </row>
    <row r="794" spans="1:1" x14ac:dyDescent="0.25">
      <c r="A794" s="163"/>
    </row>
    <row r="795" spans="1:1" x14ac:dyDescent="0.25">
      <c r="A795" s="163"/>
    </row>
    <row r="796" spans="1:1" x14ac:dyDescent="0.25">
      <c r="A796" s="163"/>
    </row>
    <row r="797" spans="1:1" x14ac:dyDescent="0.25">
      <c r="A797" s="163"/>
    </row>
    <row r="798" spans="1:1" x14ac:dyDescent="0.25">
      <c r="A798" s="163"/>
    </row>
    <row r="799" spans="1:1" x14ac:dyDescent="0.25">
      <c r="A799" s="163"/>
    </row>
    <row r="800" spans="1:1" x14ac:dyDescent="0.25">
      <c r="A800" s="163"/>
    </row>
    <row r="801" spans="1:1" x14ac:dyDescent="0.25">
      <c r="A801" s="163"/>
    </row>
    <row r="802" spans="1:1" x14ac:dyDescent="0.25">
      <c r="A802" s="163"/>
    </row>
    <row r="803" spans="1:1" x14ac:dyDescent="0.25">
      <c r="A803" s="163"/>
    </row>
    <row r="804" spans="1:1" x14ac:dyDescent="0.25">
      <c r="A804" s="163"/>
    </row>
    <row r="805" spans="1:1" x14ac:dyDescent="0.25">
      <c r="A805" s="163"/>
    </row>
    <row r="806" spans="1:1" x14ac:dyDescent="0.25">
      <c r="A806" s="163"/>
    </row>
    <row r="807" spans="1:1" x14ac:dyDescent="0.25">
      <c r="A807" s="163"/>
    </row>
    <row r="808" spans="1:1" x14ac:dyDescent="0.25">
      <c r="A808" s="163"/>
    </row>
    <row r="809" spans="1:1" x14ac:dyDescent="0.25">
      <c r="A809" s="163"/>
    </row>
    <row r="810" spans="1:1" x14ac:dyDescent="0.25">
      <c r="A810" s="163"/>
    </row>
    <row r="811" spans="1:1" x14ac:dyDescent="0.25">
      <c r="A811" s="163"/>
    </row>
    <row r="812" spans="1:1" x14ac:dyDescent="0.25">
      <c r="A812" s="163"/>
    </row>
    <row r="813" spans="1:1" x14ac:dyDescent="0.25">
      <c r="A813" s="163"/>
    </row>
    <row r="814" spans="1:1" x14ac:dyDescent="0.25">
      <c r="A814" s="163"/>
    </row>
    <row r="815" spans="1:1" x14ac:dyDescent="0.25">
      <c r="A815" s="163"/>
    </row>
    <row r="816" spans="1:1" x14ac:dyDescent="0.25">
      <c r="A816" s="163"/>
    </row>
    <row r="817" spans="1:1" x14ac:dyDescent="0.25">
      <c r="A817" s="163"/>
    </row>
    <row r="818" spans="1:1" x14ac:dyDescent="0.25">
      <c r="A818" s="163"/>
    </row>
    <row r="819" spans="1:1" x14ac:dyDescent="0.25">
      <c r="A819" s="163"/>
    </row>
    <row r="820" spans="1:1" x14ac:dyDescent="0.25">
      <c r="A820" s="163"/>
    </row>
    <row r="821" spans="1:1" x14ac:dyDescent="0.25">
      <c r="A821" s="163"/>
    </row>
    <row r="822" spans="1:1" x14ac:dyDescent="0.25">
      <c r="A822" s="163"/>
    </row>
    <row r="823" spans="1:1" x14ac:dyDescent="0.25">
      <c r="A823" s="163"/>
    </row>
    <row r="824" spans="1:1" x14ac:dyDescent="0.25">
      <c r="A824" s="163"/>
    </row>
    <row r="825" spans="1:1" x14ac:dyDescent="0.25">
      <c r="A825" s="163"/>
    </row>
    <row r="826" spans="1:1" x14ac:dyDescent="0.25">
      <c r="A826" s="163"/>
    </row>
    <row r="827" spans="1:1" x14ac:dyDescent="0.25">
      <c r="A827" s="163"/>
    </row>
    <row r="828" spans="1:1" x14ac:dyDescent="0.25">
      <c r="A828" s="163"/>
    </row>
    <row r="829" spans="1:1" x14ac:dyDescent="0.25">
      <c r="A829" s="163"/>
    </row>
    <row r="830" spans="1:1" x14ac:dyDescent="0.25">
      <c r="A830" s="163"/>
    </row>
    <row r="831" spans="1:1" x14ac:dyDescent="0.25">
      <c r="A831" s="163"/>
    </row>
    <row r="832" spans="1:1" x14ac:dyDescent="0.25">
      <c r="A832" s="163"/>
    </row>
    <row r="833" spans="1:1" x14ac:dyDescent="0.25">
      <c r="A833" s="163"/>
    </row>
    <row r="834" spans="1:1" x14ac:dyDescent="0.25">
      <c r="A834" s="163"/>
    </row>
    <row r="835" spans="1:1" x14ac:dyDescent="0.25">
      <c r="A835" s="163"/>
    </row>
    <row r="836" spans="1:1" x14ac:dyDescent="0.25">
      <c r="A836" s="163"/>
    </row>
    <row r="837" spans="1:1" x14ac:dyDescent="0.25">
      <c r="A837" s="163"/>
    </row>
    <row r="838" spans="1:1" x14ac:dyDescent="0.25">
      <c r="A838" s="163"/>
    </row>
    <row r="839" spans="1:1" x14ac:dyDescent="0.25">
      <c r="A839" s="163"/>
    </row>
    <row r="840" spans="1:1" x14ac:dyDescent="0.25">
      <c r="A840" s="163"/>
    </row>
    <row r="841" spans="1:1" x14ac:dyDescent="0.25">
      <c r="A841" s="163"/>
    </row>
    <row r="842" spans="1:1" x14ac:dyDescent="0.25">
      <c r="A842" s="163"/>
    </row>
    <row r="843" spans="1:1" x14ac:dyDescent="0.25">
      <c r="A843" s="163"/>
    </row>
    <row r="844" spans="1:1" x14ac:dyDescent="0.25">
      <c r="A844" s="163"/>
    </row>
    <row r="845" spans="1:1" x14ac:dyDescent="0.25">
      <c r="A845" s="163"/>
    </row>
    <row r="846" spans="1:1" x14ac:dyDescent="0.25">
      <c r="A846" s="163"/>
    </row>
    <row r="847" spans="1:1" x14ac:dyDescent="0.25">
      <c r="A847" s="163"/>
    </row>
    <row r="848" spans="1:1" x14ac:dyDescent="0.25">
      <c r="A848" s="163"/>
    </row>
    <row r="849" spans="1:1" x14ac:dyDescent="0.25">
      <c r="A849" s="163"/>
    </row>
    <row r="850" spans="1:1" x14ac:dyDescent="0.25">
      <c r="A850" s="163"/>
    </row>
    <row r="851" spans="1:1" x14ac:dyDescent="0.25">
      <c r="A851" s="163"/>
    </row>
    <row r="852" spans="1:1" x14ac:dyDescent="0.25">
      <c r="A852" s="163"/>
    </row>
    <row r="853" spans="1:1" x14ac:dyDescent="0.25">
      <c r="A853" s="163"/>
    </row>
    <row r="854" spans="1:1" x14ac:dyDescent="0.25">
      <c r="A854" s="163"/>
    </row>
    <row r="855" spans="1:1" x14ac:dyDescent="0.25">
      <c r="A855" s="163"/>
    </row>
    <row r="856" spans="1:1" x14ac:dyDescent="0.25">
      <c r="A856" s="163"/>
    </row>
    <row r="857" spans="1:1" x14ac:dyDescent="0.25">
      <c r="A857" s="163"/>
    </row>
    <row r="858" spans="1:1" x14ac:dyDescent="0.25">
      <c r="A858" s="163"/>
    </row>
    <row r="859" spans="1:1" x14ac:dyDescent="0.25">
      <c r="A859" s="163"/>
    </row>
    <row r="860" spans="1:1" x14ac:dyDescent="0.25">
      <c r="A860" s="163"/>
    </row>
    <row r="861" spans="1:1" x14ac:dyDescent="0.25">
      <c r="A861" s="163"/>
    </row>
    <row r="862" spans="1:1" x14ac:dyDescent="0.25">
      <c r="A862" s="163"/>
    </row>
    <row r="863" spans="1:1" x14ac:dyDescent="0.25">
      <c r="A863" s="163"/>
    </row>
    <row r="864" spans="1:1" x14ac:dyDescent="0.25">
      <c r="A864" s="163"/>
    </row>
    <row r="865" spans="1:1" x14ac:dyDescent="0.25">
      <c r="A865" s="163"/>
    </row>
    <row r="866" spans="1:1" x14ac:dyDescent="0.25">
      <c r="A866" s="163"/>
    </row>
    <row r="867" spans="1:1" x14ac:dyDescent="0.25">
      <c r="A867" s="163"/>
    </row>
    <row r="868" spans="1:1" x14ac:dyDescent="0.25">
      <c r="A868" s="163"/>
    </row>
    <row r="869" spans="1:1" x14ac:dyDescent="0.25">
      <c r="A869" s="163"/>
    </row>
    <row r="870" spans="1:1" x14ac:dyDescent="0.25">
      <c r="A870" s="163"/>
    </row>
    <row r="871" spans="1:1" x14ac:dyDescent="0.25">
      <c r="A871" s="163"/>
    </row>
    <row r="872" spans="1:1" x14ac:dyDescent="0.25">
      <c r="A872" s="163"/>
    </row>
    <row r="873" spans="1:1" x14ac:dyDescent="0.25">
      <c r="A873" s="163"/>
    </row>
    <row r="874" spans="1:1" x14ac:dyDescent="0.25">
      <c r="A874" s="163"/>
    </row>
    <row r="875" spans="1:1" x14ac:dyDescent="0.25">
      <c r="A875" s="163"/>
    </row>
    <row r="876" spans="1:1" x14ac:dyDescent="0.25">
      <c r="A876" s="163"/>
    </row>
    <row r="877" spans="1:1" x14ac:dyDescent="0.25">
      <c r="A877" s="163"/>
    </row>
    <row r="878" spans="1:1" x14ac:dyDescent="0.25">
      <c r="A878" s="163"/>
    </row>
    <row r="879" spans="1:1" x14ac:dyDescent="0.25">
      <c r="A879" s="163"/>
    </row>
    <row r="880" spans="1:1" x14ac:dyDescent="0.25">
      <c r="A880" s="163"/>
    </row>
    <row r="881" spans="1:1" x14ac:dyDescent="0.25">
      <c r="A881" s="163"/>
    </row>
    <row r="882" spans="1:1" x14ac:dyDescent="0.25">
      <c r="A882" s="163"/>
    </row>
    <row r="883" spans="1:1" x14ac:dyDescent="0.25">
      <c r="A883" s="163"/>
    </row>
    <row r="884" spans="1:1" x14ac:dyDescent="0.25">
      <c r="A884" s="163"/>
    </row>
    <row r="885" spans="1:1" x14ac:dyDescent="0.25">
      <c r="A885" s="163"/>
    </row>
    <row r="886" spans="1:1" x14ac:dyDescent="0.25">
      <c r="A886" s="163"/>
    </row>
    <row r="887" spans="1:1" x14ac:dyDescent="0.25">
      <c r="A887" s="163"/>
    </row>
    <row r="888" spans="1:1" x14ac:dyDescent="0.25">
      <c r="A888" s="163"/>
    </row>
    <row r="889" spans="1:1" x14ac:dyDescent="0.25">
      <c r="A889" s="163"/>
    </row>
    <row r="890" spans="1:1" x14ac:dyDescent="0.25">
      <c r="A890" s="163"/>
    </row>
    <row r="891" spans="1:1" x14ac:dyDescent="0.25">
      <c r="A891" s="163"/>
    </row>
    <row r="892" spans="1:1" x14ac:dyDescent="0.25">
      <c r="A892" s="163"/>
    </row>
    <row r="893" spans="1:1" x14ac:dyDescent="0.25">
      <c r="A893" s="163"/>
    </row>
    <row r="894" spans="1:1" x14ac:dyDescent="0.25">
      <c r="A894" s="163"/>
    </row>
    <row r="895" spans="1:1" x14ac:dyDescent="0.25">
      <c r="A895" s="163"/>
    </row>
    <row r="896" spans="1:1" x14ac:dyDescent="0.25">
      <c r="A896" s="163"/>
    </row>
    <row r="897" spans="1:1" x14ac:dyDescent="0.25">
      <c r="A897" s="163"/>
    </row>
    <row r="898" spans="1:1" x14ac:dyDescent="0.25">
      <c r="A898" s="163"/>
    </row>
    <row r="899" spans="1:1" x14ac:dyDescent="0.25">
      <c r="A899" s="163"/>
    </row>
    <row r="900" spans="1:1" x14ac:dyDescent="0.25">
      <c r="A900" s="163"/>
    </row>
    <row r="901" spans="1:1" x14ac:dyDescent="0.25">
      <c r="A901" s="163"/>
    </row>
    <row r="902" spans="1:1" x14ac:dyDescent="0.25">
      <c r="A902" s="163"/>
    </row>
    <row r="903" spans="1:1" x14ac:dyDescent="0.25">
      <c r="A903" s="163"/>
    </row>
    <row r="904" spans="1:1" x14ac:dyDescent="0.25">
      <c r="A904" s="163"/>
    </row>
    <row r="905" spans="1:1" x14ac:dyDescent="0.25">
      <c r="A905" s="163"/>
    </row>
    <row r="906" spans="1:1" x14ac:dyDescent="0.25">
      <c r="A906" s="163"/>
    </row>
    <row r="907" spans="1:1" x14ac:dyDescent="0.25">
      <c r="A907" s="163"/>
    </row>
    <row r="908" spans="1:1" x14ac:dyDescent="0.25">
      <c r="A908" s="163"/>
    </row>
    <row r="909" spans="1:1" x14ac:dyDescent="0.25">
      <c r="A909" s="163"/>
    </row>
    <row r="910" spans="1:1" x14ac:dyDescent="0.25">
      <c r="A910" s="163"/>
    </row>
    <row r="911" spans="1:1" x14ac:dyDescent="0.25">
      <c r="A911" s="163"/>
    </row>
    <row r="912" spans="1:1" x14ac:dyDescent="0.25">
      <c r="A912" s="163"/>
    </row>
    <row r="913" spans="1:1" x14ac:dyDescent="0.25">
      <c r="A913" s="163"/>
    </row>
    <row r="914" spans="1:1" x14ac:dyDescent="0.25">
      <c r="A914" s="163"/>
    </row>
    <row r="915" spans="1:1" x14ac:dyDescent="0.25">
      <c r="A915" s="163"/>
    </row>
    <row r="916" spans="1:1" x14ac:dyDescent="0.25">
      <c r="A916" s="163"/>
    </row>
    <row r="917" spans="1:1" x14ac:dyDescent="0.25">
      <c r="A917" s="163"/>
    </row>
    <row r="918" spans="1:1" x14ac:dyDescent="0.25">
      <c r="A918" s="163"/>
    </row>
    <row r="919" spans="1:1" x14ac:dyDescent="0.25">
      <c r="A919" s="163"/>
    </row>
    <row r="920" spans="1:1" x14ac:dyDescent="0.25">
      <c r="A920" s="163"/>
    </row>
    <row r="921" spans="1:1" x14ac:dyDescent="0.25">
      <c r="A921" s="163"/>
    </row>
    <row r="922" spans="1:1" x14ac:dyDescent="0.25">
      <c r="A922" s="163"/>
    </row>
    <row r="923" spans="1:1" x14ac:dyDescent="0.25">
      <c r="A923" s="163"/>
    </row>
    <row r="924" spans="1:1" x14ac:dyDescent="0.25">
      <c r="A924" s="163"/>
    </row>
    <row r="925" spans="1:1" x14ac:dyDescent="0.25">
      <c r="A925" s="163"/>
    </row>
    <row r="926" spans="1:1" x14ac:dyDescent="0.25">
      <c r="A926" s="163"/>
    </row>
    <row r="927" spans="1:1" x14ac:dyDescent="0.25">
      <c r="A927" s="163"/>
    </row>
    <row r="928" spans="1:1" x14ac:dyDescent="0.25">
      <c r="A928" s="163"/>
    </row>
    <row r="929" spans="1:1" x14ac:dyDescent="0.25">
      <c r="A929" s="163"/>
    </row>
    <row r="930" spans="1:1" x14ac:dyDescent="0.25">
      <c r="A930" s="163"/>
    </row>
    <row r="931" spans="1:1" x14ac:dyDescent="0.25">
      <c r="A931" s="163"/>
    </row>
    <row r="932" spans="1:1" x14ac:dyDescent="0.25">
      <c r="A932" s="163"/>
    </row>
    <row r="933" spans="1:1" x14ac:dyDescent="0.25">
      <c r="A933" s="163"/>
    </row>
    <row r="934" spans="1:1" x14ac:dyDescent="0.25">
      <c r="A934" s="163"/>
    </row>
    <row r="935" spans="1:1" x14ac:dyDescent="0.25">
      <c r="A935" s="163"/>
    </row>
    <row r="936" spans="1:1" x14ac:dyDescent="0.25">
      <c r="A936" s="163"/>
    </row>
    <row r="937" spans="1:1" x14ac:dyDescent="0.25">
      <c r="A937" s="163"/>
    </row>
    <row r="938" spans="1:1" x14ac:dyDescent="0.25">
      <c r="A938" s="163"/>
    </row>
    <row r="939" spans="1:1" x14ac:dyDescent="0.25">
      <c r="A939" s="163"/>
    </row>
    <row r="940" spans="1:1" x14ac:dyDescent="0.25">
      <c r="A940" s="163"/>
    </row>
    <row r="941" spans="1:1" x14ac:dyDescent="0.25">
      <c r="A941" s="163"/>
    </row>
    <row r="942" spans="1:1" x14ac:dyDescent="0.25">
      <c r="A942" s="163"/>
    </row>
    <row r="943" spans="1:1" x14ac:dyDescent="0.25">
      <c r="A943" s="163"/>
    </row>
    <row r="944" spans="1:1" x14ac:dyDescent="0.25">
      <c r="A944" s="163"/>
    </row>
    <row r="945" spans="1:1" x14ac:dyDescent="0.25">
      <c r="A945" s="163"/>
    </row>
    <row r="946" spans="1:1" x14ac:dyDescent="0.25">
      <c r="A946" s="163"/>
    </row>
    <row r="947" spans="1:1" x14ac:dyDescent="0.25">
      <c r="A947" s="163"/>
    </row>
    <row r="948" spans="1:1" x14ac:dyDescent="0.25">
      <c r="A948" s="163"/>
    </row>
    <row r="949" spans="1:1" x14ac:dyDescent="0.25">
      <c r="A949" s="163"/>
    </row>
    <row r="950" spans="1:1" x14ac:dyDescent="0.25">
      <c r="A950" s="163"/>
    </row>
    <row r="951" spans="1:1" x14ac:dyDescent="0.25">
      <c r="A951" s="163"/>
    </row>
    <row r="952" spans="1:1" x14ac:dyDescent="0.25">
      <c r="A952" s="163"/>
    </row>
    <row r="953" spans="1:1" x14ac:dyDescent="0.25">
      <c r="A953" s="163"/>
    </row>
    <row r="954" spans="1:1" x14ac:dyDescent="0.25">
      <c r="A954" s="163"/>
    </row>
    <row r="955" spans="1:1" x14ac:dyDescent="0.25">
      <c r="A955" s="163"/>
    </row>
    <row r="956" spans="1:1" x14ac:dyDescent="0.25">
      <c r="A956" s="163"/>
    </row>
    <row r="957" spans="1:1" x14ac:dyDescent="0.25">
      <c r="A957" s="163"/>
    </row>
    <row r="958" spans="1:1" x14ac:dyDescent="0.25">
      <c r="A958" s="163"/>
    </row>
    <row r="959" spans="1:1" x14ac:dyDescent="0.25">
      <c r="A959" s="163"/>
    </row>
    <row r="960" spans="1:1" x14ac:dyDescent="0.25">
      <c r="A960" s="163"/>
    </row>
    <row r="961" spans="1:1" x14ac:dyDescent="0.25">
      <c r="A961" s="163"/>
    </row>
    <row r="962" spans="1:1" x14ac:dyDescent="0.25">
      <c r="A962" s="163"/>
    </row>
    <row r="963" spans="1:1" x14ac:dyDescent="0.25">
      <c r="A963" s="163"/>
    </row>
    <row r="964" spans="1:1" x14ac:dyDescent="0.25">
      <c r="A964" s="163"/>
    </row>
    <row r="965" spans="1:1" x14ac:dyDescent="0.25">
      <c r="A965" s="163"/>
    </row>
    <row r="966" spans="1:1" x14ac:dyDescent="0.25">
      <c r="A966" s="163"/>
    </row>
    <row r="967" spans="1:1" x14ac:dyDescent="0.25">
      <c r="A967" s="163"/>
    </row>
    <row r="968" spans="1:1" x14ac:dyDescent="0.25">
      <c r="A968" s="163"/>
    </row>
    <row r="969" spans="1:1" x14ac:dyDescent="0.25">
      <c r="A969" s="163"/>
    </row>
    <row r="970" spans="1:1" x14ac:dyDescent="0.25">
      <c r="A970" s="163"/>
    </row>
    <row r="971" spans="1:1" x14ac:dyDescent="0.25">
      <c r="A971" s="163"/>
    </row>
    <row r="972" spans="1:1" x14ac:dyDescent="0.25">
      <c r="A972" s="163"/>
    </row>
    <row r="973" spans="1:1" x14ac:dyDescent="0.25">
      <c r="A973" s="163"/>
    </row>
    <row r="974" spans="1:1" x14ac:dyDescent="0.25">
      <c r="A974" s="163"/>
    </row>
    <row r="975" spans="1:1" x14ac:dyDescent="0.25">
      <c r="A975" s="163"/>
    </row>
    <row r="976" spans="1:1" x14ac:dyDescent="0.25">
      <c r="A976" s="163"/>
    </row>
    <row r="977" spans="1:1" x14ac:dyDescent="0.25">
      <c r="A977" s="163"/>
    </row>
    <row r="978" spans="1:1" x14ac:dyDescent="0.25">
      <c r="A978" s="163"/>
    </row>
    <row r="979" spans="1:1" x14ac:dyDescent="0.25">
      <c r="A979" s="163"/>
    </row>
    <row r="980" spans="1:1" x14ac:dyDescent="0.25">
      <c r="A980" s="163"/>
    </row>
    <row r="981" spans="1:1" x14ac:dyDescent="0.25">
      <c r="A981" s="163"/>
    </row>
    <row r="982" spans="1:1" x14ac:dyDescent="0.25">
      <c r="A982" s="163"/>
    </row>
    <row r="983" spans="1:1" x14ac:dyDescent="0.25">
      <c r="A983" s="163"/>
    </row>
    <row r="984" spans="1:1" x14ac:dyDescent="0.25">
      <c r="A984" s="163"/>
    </row>
    <row r="985" spans="1:1" x14ac:dyDescent="0.25">
      <c r="A985" s="163"/>
    </row>
    <row r="986" spans="1:1" x14ac:dyDescent="0.25">
      <c r="A986" s="163"/>
    </row>
    <row r="987" spans="1:1" x14ac:dyDescent="0.25">
      <c r="A987" s="163"/>
    </row>
    <row r="988" spans="1:1" x14ac:dyDescent="0.25">
      <c r="A988" s="163"/>
    </row>
    <row r="989" spans="1:1" x14ac:dyDescent="0.25">
      <c r="A989" s="163"/>
    </row>
    <row r="990" spans="1:1" x14ac:dyDescent="0.25">
      <c r="A990" s="163"/>
    </row>
    <row r="991" spans="1:1" x14ac:dyDescent="0.25">
      <c r="A991" s="163"/>
    </row>
    <row r="992" spans="1:1" x14ac:dyDescent="0.25">
      <c r="A992" s="163"/>
    </row>
    <row r="993" spans="1:1" x14ac:dyDescent="0.25">
      <c r="A993" s="163"/>
    </row>
    <row r="994" spans="1:1" x14ac:dyDescent="0.25">
      <c r="A994" s="163"/>
    </row>
    <row r="995" spans="1:1" x14ac:dyDescent="0.25">
      <c r="A995" s="163"/>
    </row>
    <row r="996" spans="1:1" x14ac:dyDescent="0.25">
      <c r="A996" s="163"/>
    </row>
    <row r="997" spans="1:1" x14ac:dyDescent="0.25">
      <c r="A997" s="163"/>
    </row>
    <row r="998" spans="1:1" x14ac:dyDescent="0.25">
      <c r="A998" s="163"/>
    </row>
    <row r="999" spans="1:1" x14ac:dyDescent="0.25">
      <c r="A999" s="163"/>
    </row>
    <row r="1000" spans="1:1" x14ac:dyDescent="0.25">
      <c r="A1000" s="163"/>
    </row>
    <row r="1001" spans="1:1" x14ac:dyDescent="0.25">
      <c r="A1001" s="163"/>
    </row>
    <row r="1002" spans="1:1" x14ac:dyDescent="0.25">
      <c r="A1002" s="163"/>
    </row>
    <row r="1003" spans="1:1" x14ac:dyDescent="0.25">
      <c r="A1003" s="163"/>
    </row>
    <row r="1004" spans="1:1" x14ac:dyDescent="0.25">
      <c r="A1004" s="163"/>
    </row>
    <row r="1005" spans="1:1" x14ac:dyDescent="0.25">
      <c r="A1005" s="163"/>
    </row>
    <row r="1006" spans="1:1" x14ac:dyDescent="0.25">
      <c r="A1006" s="163"/>
    </row>
    <row r="1007" spans="1:1" x14ac:dyDescent="0.25">
      <c r="A1007" s="163"/>
    </row>
    <row r="1008" spans="1:1" x14ac:dyDescent="0.25">
      <c r="A1008" s="163"/>
    </row>
    <row r="1009" spans="1:1" x14ac:dyDescent="0.25">
      <c r="A1009" s="163"/>
    </row>
    <row r="1010" spans="1:1" x14ac:dyDescent="0.25">
      <c r="A1010" s="163"/>
    </row>
    <row r="1011" spans="1:1" x14ac:dyDescent="0.25">
      <c r="A1011" s="163"/>
    </row>
    <row r="1012" spans="1:1" x14ac:dyDescent="0.25">
      <c r="A1012" s="163"/>
    </row>
    <row r="1013" spans="1:1" x14ac:dyDescent="0.25">
      <c r="A1013" s="163"/>
    </row>
    <row r="1014" spans="1:1" x14ac:dyDescent="0.25">
      <c r="A1014" s="163"/>
    </row>
    <row r="1015" spans="1:1" x14ac:dyDescent="0.25">
      <c r="A1015" s="163"/>
    </row>
    <row r="1016" spans="1:1" x14ac:dyDescent="0.25">
      <c r="A1016" s="163"/>
    </row>
    <row r="1017" spans="1:1" x14ac:dyDescent="0.25">
      <c r="A1017" s="163"/>
    </row>
    <row r="1018" spans="1:1" x14ac:dyDescent="0.25">
      <c r="A1018" s="163"/>
    </row>
    <row r="1019" spans="1:1" x14ac:dyDescent="0.25">
      <c r="A1019" s="163"/>
    </row>
    <row r="1020" spans="1:1" x14ac:dyDescent="0.25">
      <c r="A1020" s="163"/>
    </row>
    <row r="1021" spans="1:1" x14ac:dyDescent="0.25">
      <c r="A1021" s="163"/>
    </row>
    <row r="1022" spans="1:1" x14ac:dyDescent="0.25">
      <c r="A1022" s="163"/>
    </row>
    <row r="1023" spans="1:1" x14ac:dyDescent="0.25">
      <c r="A1023" s="163"/>
    </row>
    <row r="1024" spans="1:1" x14ac:dyDescent="0.25">
      <c r="A1024" s="163"/>
    </row>
    <row r="1025" spans="1:1" x14ac:dyDescent="0.25">
      <c r="A1025" s="163"/>
    </row>
    <row r="1026" spans="1:1" x14ac:dyDescent="0.25">
      <c r="A1026" s="163"/>
    </row>
    <row r="1027" spans="1:1" x14ac:dyDescent="0.25">
      <c r="A1027" s="163"/>
    </row>
    <row r="1028" spans="1:1" x14ac:dyDescent="0.25">
      <c r="A1028" s="163"/>
    </row>
    <row r="1029" spans="1:1" x14ac:dyDescent="0.25">
      <c r="A1029" s="163"/>
    </row>
    <row r="1030" spans="1:1" x14ac:dyDescent="0.25">
      <c r="A1030" s="163"/>
    </row>
    <row r="1031" spans="1:1" x14ac:dyDescent="0.25">
      <c r="A1031" s="163"/>
    </row>
    <row r="1032" spans="1:1" x14ac:dyDescent="0.25">
      <c r="A1032" s="163"/>
    </row>
    <row r="1033" spans="1:1" x14ac:dyDescent="0.25">
      <c r="A1033" s="163"/>
    </row>
    <row r="1034" spans="1:1" x14ac:dyDescent="0.25">
      <c r="A1034" s="163"/>
    </row>
    <row r="1035" spans="1:1" x14ac:dyDescent="0.25">
      <c r="A1035" s="163"/>
    </row>
    <row r="1036" spans="1:1" x14ac:dyDescent="0.25">
      <c r="A1036" s="163"/>
    </row>
    <row r="1037" spans="1:1" x14ac:dyDescent="0.25">
      <c r="A1037" s="163"/>
    </row>
    <row r="1038" spans="1:1" x14ac:dyDescent="0.25">
      <c r="A1038" s="163"/>
    </row>
    <row r="1039" spans="1:1" x14ac:dyDescent="0.25">
      <c r="A1039" s="163"/>
    </row>
    <row r="1040" spans="1:1" x14ac:dyDescent="0.25">
      <c r="A1040" s="163"/>
    </row>
    <row r="1041" spans="1:1" x14ac:dyDescent="0.25">
      <c r="A1041" s="163"/>
    </row>
    <row r="1042" spans="1:1" x14ac:dyDescent="0.25">
      <c r="A1042" s="163"/>
    </row>
    <row r="1043" spans="1:1" x14ac:dyDescent="0.25">
      <c r="A1043" s="163"/>
    </row>
    <row r="1044" spans="1:1" x14ac:dyDescent="0.25">
      <c r="A1044" s="163"/>
    </row>
    <row r="1045" spans="1:1" x14ac:dyDescent="0.25">
      <c r="A1045" s="163"/>
    </row>
    <row r="1046" spans="1:1" x14ac:dyDescent="0.25">
      <c r="A1046" s="163"/>
    </row>
    <row r="1047" spans="1:1" x14ac:dyDescent="0.25">
      <c r="A1047" s="163"/>
    </row>
    <row r="1048" spans="1:1" x14ac:dyDescent="0.25">
      <c r="A1048" s="163"/>
    </row>
    <row r="1049" spans="1:1" x14ac:dyDescent="0.25">
      <c r="A1049" s="163"/>
    </row>
    <row r="1050" spans="1:1" x14ac:dyDescent="0.25">
      <c r="A1050" s="163"/>
    </row>
    <row r="1051" spans="1:1" x14ac:dyDescent="0.25">
      <c r="A1051" s="163"/>
    </row>
    <row r="1052" spans="1:1" x14ac:dyDescent="0.25">
      <c r="A1052" s="163"/>
    </row>
    <row r="1053" spans="1:1" x14ac:dyDescent="0.25">
      <c r="A1053" s="163"/>
    </row>
    <row r="1054" spans="1:1" x14ac:dyDescent="0.25">
      <c r="A1054" s="163"/>
    </row>
    <row r="1055" spans="1:1" x14ac:dyDescent="0.25">
      <c r="A1055" s="163"/>
    </row>
    <row r="1056" spans="1:1" x14ac:dyDescent="0.25">
      <c r="A1056" s="163"/>
    </row>
    <row r="1057" spans="1:1" x14ac:dyDescent="0.25">
      <c r="A1057" s="163"/>
    </row>
    <row r="1058" spans="1:1" x14ac:dyDescent="0.25">
      <c r="A1058" s="163"/>
    </row>
    <row r="1059" spans="1:1" x14ac:dyDescent="0.25">
      <c r="A1059" s="163"/>
    </row>
    <row r="1060" spans="1:1" x14ac:dyDescent="0.25">
      <c r="A1060" s="163"/>
    </row>
    <row r="1061" spans="1:1" x14ac:dyDescent="0.25">
      <c r="A1061" s="163"/>
    </row>
    <row r="1062" spans="1:1" x14ac:dyDescent="0.25">
      <c r="A1062" s="163"/>
    </row>
    <row r="1063" spans="1:1" x14ac:dyDescent="0.25">
      <c r="A1063" s="163"/>
    </row>
    <row r="1064" spans="1:1" x14ac:dyDescent="0.25">
      <c r="A1064" s="163"/>
    </row>
    <row r="1065" spans="1:1" x14ac:dyDescent="0.25">
      <c r="A1065" s="163"/>
    </row>
    <row r="1066" spans="1:1" x14ac:dyDescent="0.25">
      <c r="A1066" s="163"/>
    </row>
    <row r="1067" spans="1:1" x14ac:dyDescent="0.25">
      <c r="A1067" s="163"/>
    </row>
    <row r="1068" spans="1:1" x14ac:dyDescent="0.25">
      <c r="A1068" s="163"/>
    </row>
    <row r="1069" spans="1:1" x14ac:dyDescent="0.25">
      <c r="A1069" s="163"/>
    </row>
    <row r="1070" spans="1:1" x14ac:dyDescent="0.25">
      <c r="A1070" s="163"/>
    </row>
    <row r="1071" spans="1:1" x14ac:dyDescent="0.25">
      <c r="A1071" s="163"/>
    </row>
    <row r="1072" spans="1:1" x14ac:dyDescent="0.25">
      <c r="A1072" s="163"/>
    </row>
    <row r="1073" spans="1:1" x14ac:dyDescent="0.25">
      <c r="A1073" s="163"/>
    </row>
    <row r="1074" spans="1:1" x14ac:dyDescent="0.25">
      <c r="A1074" s="163"/>
    </row>
    <row r="1075" spans="1:1" x14ac:dyDescent="0.25">
      <c r="A1075" s="163"/>
    </row>
    <row r="1076" spans="1:1" x14ac:dyDescent="0.25">
      <c r="A1076" s="163"/>
    </row>
    <row r="1077" spans="1:1" x14ac:dyDescent="0.25">
      <c r="A1077" s="163"/>
    </row>
    <row r="1078" spans="1:1" x14ac:dyDescent="0.25">
      <c r="A1078" s="163"/>
    </row>
    <row r="1079" spans="1:1" x14ac:dyDescent="0.25">
      <c r="A1079" s="163"/>
    </row>
    <row r="1080" spans="1:1" x14ac:dyDescent="0.25">
      <c r="A1080" s="163"/>
    </row>
    <row r="1081" spans="1:1" x14ac:dyDescent="0.25">
      <c r="A1081" s="163"/>
    </row>
    <row r="1082" spans="1:1" x14ac:dyDescent="0.25">
      <c r="A1082" s="163"/>
    </row>
    <row r="1083" spans="1:1" x14ac:dyDescent="0.25">
      <c r="A1083" s="163"/>
    </row>
    <row r="1084" spans="1:1" x14ac:dyDescent="0.25">
      <c r="A1084" s="163"/>
    </row>
    <row r="1085" spans="1:1" x14ac:dyDescent="0.25">
      <c r="A1085" s="163"/>
    </row>
    <row r="1086" spans="1:1" x14ac:dyDescent="0.25">
      <c r="A1086" s="163"/>
    </row>
    <row r="1087" spans="1:1" x14ac:dyDescent="0.25">
      <c r="A1087" s="163"/>
    </row>
    <row r="1088" spans="1:1" x14ac:dyDescent="0.25">
      <c r="A1088" s="163"/>
    </row>
    <row r="1089" spans="1:1" x14ac:dyDescent="0.25">
      <c r="A1089" s="163"/>
    </row>
    <row r="1090" spans="1:1" x14ac:dyDescent="0.25">
      <c r="A1090" s="163"/>
    </row>
    <row r="1091" spans="1:1" x14ac:dyDescent="0.25">
      <c r="A1091" s="163"/>
    </row>
    <row r="1092" spans="1:1" x14ac:dyDescent="0.25">
      <c r="A1092" s="163"/>
    </row>
    <row r="1093" spans="1:1" x14ac:dyDescent="0.25">
      <c r="A1093" s="163"/>
    </row>
    <row r="1094" spans="1:1" x14ac:dyDescent="0.25">
      <c r="A1094" s="163"/>
    </row>
    <row r="1095" spans="1:1" x14ac:dyDescent="0.25">
      <c r="A1095" s="163"/>
    </row>
    <row r="1096" spans="1:1" x14ac:dyDescent="0.25">
      <c r="A1096" s="163"/>
    </row>
    <row r="1097" spans="1:1" x14ac:dyDescent="0.25">
      <c r="A1097" s="163"/>
    </row>
    <row r="1098" spans="1:1" x14ac:dyDescent="0.25">
      <c r="A1098" s="163"/>
    </row>
    <row r="1099" spans="1:1" x14ac:dyDescent="0.25">
      <c r="A1099" s="163"/>
    </row>
    <row r="1100" spans="1:1" x14ac:dyDescent="0.25">
      <c r="A1100" s="163"/>
    </row>
    <row r="1101" spans="1:1" x14ac:dyDescent="0.25">
      <c r="A1101" s="163"/>
    </row>
    <row r="1102" spans="1:1" x14ac:dyDescent="0.25">
      <c r="A1102" s="163"/>
    </row>
    <row r="1103" spans="1:1" x14ac:dyDescent="0.25">
      <c r="A1103" s="163"/>
    </row>
    <row r="1104" spans="1:1" x14ac:dyDescent="0.25">
      <c r="A1104" s="163"/>
    </row>
    <row r="1105" spans="1:1" x14ac:dyDescent="0.25">
      <c r="A1105" s="163"/>
    </row>
    <row r="1106" spans="1:1" x14ac:dyDescent="0.25">
      <c r="A1106" s="163"/>
    </row>
    <row r="1107" spans="1:1" x14ac:dyDescent="0.25">
      <c r="A1107" s="163"/>
    </row>
    <row r="1108" spans="1:1" x14ac:dyDescent="0.25">
      <c r="A1108" s="163"/>
    </row>
    <row r="1109" spans="1:1" x14ac:dyDescent="0.25">
      <c r="A1109" s="163"/>
    </row>
    <row r="1110" spans="1:1" x14ac:dyDescent="0.25">
      <c r="A1110" s="163"/>
    </row>
    <row r="1111" spans="1:1" x14ac:dyDescent="0.25">
      <c r="A1111" s="163"/>
    </row>
    <row r="1112" spans="1:1" x14ac:dyDescent="0.25">
      <c r="A1112" s="163"/>
    </row>
    <row r="1113" spans="1:1" x14ac:dyDescent="0.25">
      <c r="A1113" s="163"/>
    </row>
    <row r="1114" spans="1:1" x14ac:dyDescent="0.25">
      <c r="A1114" s="163"/>
    </row>
    <row r="1115" spans="1:1" x14ac:dyDescent="0.25">
      <c r="A1115" s="163"/>
    </row>
    <row r="1116" spans="1:1" x14ac:dyDescent="0.25">
      <c r="A1116" s="163"/>
    </row>
    <row r="1117" spans="1:1" x14ac:dyDescent="0.25">
      <c r="A1117" s="163"/>
    </row>
    <row r="1118" spans="1:1" x14ac:dyDescent="0.25">
      <c r="A1118" s="163"/>
    </row>
    <row r="1119" spans="1:1" x14ac:dyDescent="0.25">
      <c r="A1119" s="163"/>
    </row>
    <row r="1120" spans="1:1" x14ac:dyDescent="0.25">
      <c r="A1120" s="163"/>
    </row>
    <row r="1121" spans="1:1" x14ac:dyDescent="0.25">
      <c r="A1121" s="163"/>
    </row>
    <row r="1122" spans="1:1" x14ac:dyDescent="0.25">
      <c r="A1122" s="163"/>
    </row>
    <row r="1123" spans="1:1" x14ac:dyDescent="0.25">
      <c r="A1123" s="163"/>
    </row>
    <row r="1124" spans="1:1" x14ac:dyDescent="0.25">
      <c r="A1124" s="163"/>
    </row>
    <row r="1125" spans="1:1" x14ac:dyDescent="0.25">
      <c r="A1125" s="163"/>
    </row>
    <row r="1126" spans="1:1" x14ac:dyDescent="0.25">
      <c r="A1126" s="163"/>
    </row>
    <row r="1127" spans="1:1" x14ac:dyDescent="0.25">
      <c r="A1127" s="163"/>
    </row>
    <row r="1128" spans="1:1" x14ac:dyDescent="0.25">
      <c r="A1128" s="163"/>
    </row>
    <row r="1129" spans="1:1" x14ac:dyDescent="0.25">
      <c r="A1129" s="163"/>
    </row>
    <row r="1130" spans="1:1" x14ac:dyDescent="0.25">
      <c r="A1130" s="163"/>
    </row>
    <row r="1131" spans="1:1" x14ac:dyDescent="0.25">
      <c r="A1131" s="163"/>
    </row>
    <row r="1132" spans="1:1" x14ac:dyDescent="0.25">
      <c r="A1132" s="163"/>
    </row>
    <row r="1133" spans="1:1" x14ac:dyDescent="0.25">
      <c r="A1133" s="163"/>
    </row>
    <row r="1134" spans="1:1" x14ac:dyDescent="0.25">
      <c r="A1134" s="163"/>
    </row>
    <row r="1135" spans="1:1" x14ac:dyDescent="0.25">
      <c r="A1135" s="163"/>
    </row>
    <row r="1136" spans="1:1" x14ac:dyDescent="0.25">
      <c r="A1136" s="163"/>
    </row>
    <row r="1137" spans="1:1" x14ac:dyDescent="0.25">
      <c r="A1137" s="163"/>
    </row>
    <row r="1138" spans="1:1" x14ac:dyDescent="0.25">
      <c r="A1138" s="163"/>
    </row>
    <row r="1139" spans="1:1" x14ac:dyDescent="0.25">
      <c r="A1139" s="163"/>
    </row>
    <row r="1140" spans="1:1" x14ac:dyDescent="0.25">
      <c r="A1140" s="163"/>
    </row>
    <row r="1141" spans="1:1" x14ac:dyDescent="0.25">
      <c r="A1141" s="163"/>
    </row>
    <row r="1142" spans="1:1" x14ac:dyDescent="0.25">
      <c r="A1142" s="163"/>
    </row>
    <row r="1143" spans="1:1" x14ac:dyDescent="0.25">
      <c r="A1143" s="163"/>
    </row>
    <row r="1144" spans="1:1" x14ac:dyDescent="0.25">
      <c r="A1144" s="163"/>
    </row>
    <row r="1145" spans="1:1" x14ac:dyDescent="0.25">
      <c r="A1145" s="163"/>
    </row>
    <row r="1146" spans="1:1" x14ac:dyDescent="0.25">
      <c r="A1146" s="163"/>
    </row>
    <row r="1147" spans="1:1" x14ac:dyDescent="0.25">
      <c r="A1147" s="163"/>
    </row>
    <row r="1148" spans="1:1" x14ac:dyDescent="0.25">
      <c r="A1148" s="163"/>
    </row>
    <row r="1149" spans="1:1" x14ac:dyDescent="0.25">
      <c r="A1149" s="163"/>
    </row>
    <row r="1150" spans="1:1" x14ac:dyDescent="0.25">
      <c r="A1150" s="163"/>
    </row>
    <row r="1151" spans="1:1" x14ac:dyDescent="0.25">
      <c r="A1151" s="163"/>
    </row>
    <row r="1152" spans="1:1" x14ac:dyDescent="0.25">
      <c r="A1152" s="163"/>
    </row>
    <row r="1153" spans="1:1" x14ac:dyDescent="0.25">
      <c r="A1153" s="163"/>
    </row>
    <row r="1154" spans="1:1" x14ac:dyDescent="0.25">
      <c r="A1154" s="163"/>
    </row>
    <row r="1155" spans="1:1" x14ac:dyDescent="0.25">
      <c r="A1155" s="163"/>
    </row>
    <row r="1156" spans="1:1" x14ac:dyDescent="0.25">
      <c r="A1156" s="163"/>
    </row>
    <row r="1157" spans="1:1" x14ac:dyDescent="0.25">
      <c r="A1157" s="163"/>
    </row>
    <row r="1158" spans="1:1" x14ac:dyDescent="0.25">
      <c r="A1158" s="163"/>
    </row>
    <row r="1159" spans="1:1" x14ac:dyDescent="0.25">
      <c r="A1159" s="163"/>
    </row>
    <row r="1160" spans="1:1" x14ac:dyDescent="0.25">
      <c r="A1160" s="163"/>
    </row>
    <row r="1161" spans="1:1" x14ac:dyDescent="0.25">
      <c r="A1161" s="163"/>
    </row>
    <row r="1162" spans="1:1" x14ac:dyDescent="0.25">
      <c r="A1162" s="163"/>
    </row>
    <row r="1163" spans="1:1" x14ac:dyDescent="0.25">
      <c r="A1163" s="163"/>
    </row>
    <row r="1164" spans="1:1" x14ac:dyDescent="0.25">
      <c r="A1164" s="163"/>
    </row>
    <row r="1165" spans="1:1" x14ac:dyDescent="0.25">
      <c r="A1165" s="163"/>
    </row>
    <row r="1166" spans="1:1" x14ac:dyDescent="0.25">
      <c r="A1166" s="163"/>
    </row>
    <row r="1167" spans="1:1" x14ac:dyDescent="0.25">
      <c r="A1167" s="163"/>
    </row>
    <row r="1168" spans="1:1" x14ac:dyDescent="0.25">
      <c r="A1168" s="163"/>
    </row>
    <row r="1169" spans="1:1" x14ac:dyDescent="0.25">
      <c r="A1169" s="163"/>
    </row>
    <row r="1170" spans="1:1" x14ac:dyDescent="0.25">
      <c r="A1170" s="163"/>
    </row>
    <row r="1171" spans="1:1" x14ac:dyDescent="0.25">
      <c r="A1171" s="163"/>
    </row>
    <row r="1172" spans="1:1" x14ac:dyDescent="0.25">
      <c r="A1172" s="163"/>
    </row>
    <row r="1173" spans="1:1" x14ac:dyDescent="0.25">
      <c r="A1173" s="163"/>
    </row>
    <row r="1174" spans="1:1" x14ac:dyDescent="0.25">
      <c r="A1174" s="163"/>
    </row>
    <row r="1175" spans="1:1" x14ac:dyDescent="0.25">
      <c r="A1175" s="163"/>
    </row>
    <row r="1176" spans="1:1" x14ac:dyDescent="0.25">
      <c r="A1176" s="163"/>
    </row>
    <row r="1177" spans="1:1" x14ac:dyDescent="0.25">
      <c r="A1177" s="163"/>
    </row>
    <row r="1178" spans="1:1" x14ac:dyDescent="0.25">
      <c r="A1178" s="163"/>
    </row>
    <row r="1179" spans="1:1" x14ac:dyDescent="0.25">
      <c r="A1179" s="163"/>
    </row>
    <row r="1180" spans="1:1" x14ac:dyDescent="0.25">
      <c r="A1180" s="163"/>
    </row>
    <row r="1181" spans="1:1" x14ac:dyDescent="0.25">
      <c r="A1181" s="163"/>
    </row>
    <row r="1182" spans="1:1" x14ac:dyDescent="0.25">
      <c r="A1182" s="163"/>
    </row>
    <row r="1183" spans="1:1" x14ac:dyDescent="0.25">
      <c r="A1183" s="163"/>
    </row>
    <row r="1184" spans="1:1" x14ac:dyDescent="0.25">
      <c r="A1184" s="163"/>
    </row>
    <row r="1185" spans="1:1" x14ac:dyDescent="0.25">
      <c r="A1185" s="163"/>
    </row>
    <row r="1186" spans="1:1" x14ac:dyDescent="0.25">
      <c r="A1186" s="163"/>
    </row>
    <row r="1187" spans="1:1" x14ac:dyDescent="0.25">
      <c r="A1187" s="163"/>
    </row>
    <row r="1188" spans="1:1" x14ac:dyDescent="0.25">
      <c r="A1188" s="163"/>
    </row>
    <row r="1189" spans="1:1" x14ac:dyDescent="0.25">
      <c r="A1189" s="163"/>
    </row>
    <row r="1190" spans="1:1" x14ac:dyDescent="0.25">
      <c r="A1190" s="163"/>
    </row>
    <row r="1191" spans="1:1" x14ac:dyDescent="0.25">
      <c r="A1191" s="163"/>
    </row>
    <row r="1192" spans="1:1" x14ac:dyDescent="0.25">
      <c r="A1192" s="163"/>
    </row>
    <row r="1193" spans="1:1" x14ac:dyDescent="0.25">
      <c r="A1193" s="163"/>
    </row>
    <row r="1194" spans="1:1" x14ac:dyDescent="0.25">
      <c r="A1194" s="163"/>
    </row>
    <row r="1195" spans="1:1" x14ac:dyDescent="0.25">
      <c r="A1195" s="163"/>
    </row>
    <row r="1196" spans="1:1" x14ac:dyDescent="0.25">
      <c r="A1196" s="163"/>
    </row>
    <row r="1197" spans="1:1" x14ac:dyDescent="0.25">
      <c r="A1197" s="163"/>
    </row>
    <row r="1198" spans="1:1" x14ac:dyDescent="0.25">
      <c r="A1198" s="163"/>
    </row>
    <row r="1199" spans="1:1" x14ac:dyDescent="0.25">
      <c r="A1199" s="163"/>
    </row>
    <row r="1200" spans="1:1" x14ac:dyDescent="0.25">
      <c r="A1200" s="163"/>
    </row>
    <row r="1201" spans="1:1" x14ac:dyDescent="0.25">
      <c r="A1201" s="163"/>
    </row>
    <row r="1202" spans="1:1" x14ac:dyDescent="0.25">
      <c r="A1202" s="163"/>
    </row>
    <row r="1203" spans="1:1" x14ac:dyDescent="0.25">
      <c r="A1203" s="163"/>
    </row>
    <row r="1204" spans="1:1" x14ac:dyDescent="0.25">
      <c r="A1204" s="163"/>
    </row>
    <row r="1205" spans="1:1" x14ac:dyDescent="0.25">
      <c r="A1205" s="163"/>
    </row>
    <row r="1206" spans="1:1" x14ac:dyDescent="0.25">
      <c r="A1206" s="163"/>
    </row>
    <row r="1207" spans="1:1" x14ac:dyDescent="0.25">
      <c r="A1207" s="163"/>
    </row>
    <row r="1208" spans="1:1" x14ac:dyDescent="0.25">
      <c r="A1208" s="163"/>
    </row>
    <row r="1209" spans="1:1" x14ac:dyDescent="0.25">
      <c r="A1209" s="163"/>
    </row>
    <row r="1210" spans="1:1" x14ac:dyDescent="0.25">
      <c r="A1210" s="163"/>
    </row>
    <row r="1211" spans="1:1" x14ac:dyDescent="0.25">
      <c r="A1211" s="163"/>
    </row>
    <row r="1212" spans="1:1" x14ac:dyDescent="0.25">
      <c r="A1212" s="163"/>
    </row>
    <row r="1213" spans="1:1" x14ac:dyDescent="0.25">
      <c r="A1213" s="163"/>
    </row>
    <row r="1214" spans="1:1" x14ac:dyDescent="0.25">
      <c r="A1214" s="163"/>
    </row>
    <row r="1215" spans="1:1" x14ac:dyDescent="0.25">
      <c r="A1215" s="163"/>
    </row>
    <row r="1216" spans="1:1" x14ac:dyDescent="0.25">
      <c r="A1216" s="163"/>
    </row>
    <row r="1217" spans="1:1" x14ac:dyDescent="0.25">
      <c r="A1217" s="163"/>
    </row>
    <row r="1218" spans="1:1" x14ac:dyDescent="0.25">
      <c r="A1218" s="163"/>
    </row>
    <row r="1219" spans="1:1" x14ac:dyDescent="0.25">
      <c r="A1219" s="163"/>
    </row>
    <row r="1220" spans="1:1" x14ac:dyDescent="0.25">
      <c r="A1220" s="163"/>
    </row>
    <row r="1221" spans="1:1" x14ac:dyDescent="0.25">
      <c r="A1221" s="163"/>
    </row>
    <row r="1222" spans="1:1" x14ac:dyDescent="0.25">
      <c r="A1222" s="163"/>
    </row>
    <row r="1223" spans="1:1" x14ac:dyDescent="0.25">
      <c r="A1223" s="163"/>
    </row>
    <row r="1224" spans="1:1" x14ac:dyDescent="0.25">
      <c r="A1224" s="163"/>
    </row>
    <row r="1225" spans="1:1" x14ac:dyDescent="0.25">
      <c r="A1225" s="163"/>
    </row>
    <row r="1226" spans="1:1" x14ac:dyDescent="0.25">
      <c r="A1226" s="163"/>
    </row>
    <row r="1227" spans="1:1" x14ac:dyDescent="0.25">
      <c r="A1227" s="163"/>
    </row>
    <row r="1228" spans="1:1" x14ac:dyDescent="0.25">
      <c r="A1228" s="163"/>
    </row>
    <row r="1229" spans="1:1" x14ac:dyDescent="0.25">
      <c r="A1229" s="163"/>
    </row>
    <row r="1230" spans="1:1" x14ac:dyDescent="0.25">
      <c r="A1230" s="163"/>
    </row>
    <row r="1231" spans="1:1" x14ac:dyDescent="0.25">
      <c r="A1231" s="163"/>
    </row>
    <row r="1232" spans="1:1" x14ac:dyDescent="0.25">
      <c r="A1232" s="163"/>
    </row>
    <row r="1233" spans="1:1" x14ac:dyDescent="0.25">
      <c r="A1233" s="163"/>
    </row>
    <row r="1234" spans="1:1" x14ac:dyDescent="0.25">
      <c r="A1234" s="163"/>
    </row>
    <row r="1235" spans="1:1" x14ac:dyDescent="0.25">
      <c r="A1235" s="163"/>
    </row>
    <row r="1236" spans="1:1" x14ac:dyDescent="0.25">
      <c r="A1236" s="163"/>
    </row>
    <row r="1237" spans="1:1" x14ac:dyDescent="0.25">
      <c r="A1237" s="163"/>
    </row>
    <row r="1238" spans="1:1" x14ac:dyDescent="0.25">
      <c r="A1238" s="163"/>
    </row>
    <row r="1239" spans="1:1" x14ac:dyDescent="0.25">
      <c r="A1239" s="163"/>
    </row>
    <row r="1240" spans="1:1" x14ac:dyDescent="0.25">
      <c r="A1240" s="163"/>
    </row>
    <row r="1241" spans="1:1" x14ac:dyDescent="0.25">
      <c r="A1241" s="163"/>
    </row>
    <row r="1242" spans="1:1" x14ac:dyDescent="0.25">
      <c r="A1242" s="163"/>
    </row>
    <row r="1243" spans="1:1" x14ac:dyDescent="0.25">
      <c r="A1243" s="163"/>
    </row>
    <row r="1244" spans="1:1" x14ac:dyDescent="0.25">
      <c r="A1244" s="163"/>
    </row>
    <row r="1245" spans="1:1" x14ac:dyDescent="0.25">
      <c r="A1245" s="163"/>
    </row>
    <row r="1246" spans="1:1" x14ac:dyDescent="0.25">
      <c r="A1246" s="163"/>
    </row>
    <row r="1247" spans="1:1" x14ac:dyDescent="0.25">
      <c r="A1247" s="163"/>
    </row>
    <row r="1248" spans="1:1" x14ac:dyDescent="0.25">
      <c r="A1248" s="163"/>
    </row>
    <row r="1249" spans="1:1" x14ac:dyDescent="0.25">
      <c r="A1249" s="163"/>
    </row>
    <row r="1250" spans="1:1" x14ac:dyDescent="0.25">
      <c r="A1250" s="163"/>
    </row>
    <row r="1251" spans="1:1" x14ac:dyDescent="0.25">
      <c r="A1251" s="163"/>
    </row>
    <row r="1252" spans="1:1" x14ac:dyDescent="0.25">
      <c r="A1252" s="163"/>
    </row>
    <row r="1253" spans="1:1" x14ac:dyDescent="0.25">
      <c r="A1253" s="163"/>
    </row>
    <row r="1254" spans="1:1" x14ac:dyDescent="0.25">
      <c r="A1254" s="163"/>
    </row>
    <row r="1255" spans="1:1" x14ac:dyDescent="0.25">
      <c r="A1255" s="163"/>
    </row>
    <row r="1256" spans="1:1" x14ac:dyDescent="0.25">
      <c r="A1256" s="163"/>
    </row>
    <row r="1257" spans="1:1" x14ac:dyDescent="0.25">
      <c r="A1257" s="163"/>
    </row>
    <row r="1258" spans="1:1" x14ac:dyDescent="0.25">
      <c r="A1258" s="163"/>
    </row>
    <row r="1259" spans="1:1" x14ac:dyDescent="0.25">
      <c r="A1259" s="163"/>
    </row>
    <row r="1260" spans="1:1" x14ac:dyDescent="0.25">
      <c r="A1260" s="163"/>
    </row>
    <row r="1261" spans="1:1" x14ac:dyDescent="0.25">
      <c r="A1261" s="163"/>
    </row>
    <row r="1262" spans="1:1" x14ac:dyDescent="0.25">
      <c r="A1262" s="163"/>
    </row>
    <row r="1263" spans="1:1" x14ac:dyDescent="0.25">
      <c r="A1263" s="163"/>
    </row>
    <row r="1264" spans="1:1" x14ac:dyDescent="0.25">
      <c r="A1264" s="163"/>
    </row>
    <row r="1265" spans="1:1" x14ac:dyDescent="0.25">
      <c r="A1265" s="163"/>
    </row>
    <row r="1266" spans="1:1" x14ac:dyDescent="0.25">
      <c r="A1266" s="163"/>
    </row>
    <row r="1267" spans="1:1" x14ac:dyDescent="0.25">
      <c r="A1267" s="163"/>
    </row>
    <row r="1268" spans="1:1" x14ac:dyDescent="0.25">
      <c r="A1268" s="163"/>
    </row>
    <row r="1269" spans="1:1" x14ac:dyDescent="0.25">
      <c r="A1269" s="163"/>
    </row>
    <row r="1270" spans="1:1" x14ac:dyDescent="0.25">
      <c r="A1270" s="163"/>
    </row>
    <row r="1271" spans="1:1" x14ac:dyDescent="0.25">
      <c r="A1271" s="163"/>
    </row>
    <row r="1272" spans="1:1" x14ac:dyDescent="0.25">
      <c r="A1272" s="163"/>
    </row>
    <row r="1273" spans="1:1" x14ac:dyDescent="0.25">
      <c r="A1273" s="163"/>
    </row>
    <row r="1274" spans="1:1" x14ac:dyDescent="0.25">
      <c r="A1274" s="163"/>
    </row>
    <row r="1275" spans="1:1" x14ac:dyDescent="0.25">
      <c r="A1275" s="163"/>
    </row>
    <row r="1276" spans="1:1" x14ac:dyDescent="0.25">
      <c r="A1276" s="163"/>
    </row>
    <row r="1277" spans="1:1" x14ac:dyDescent="0.25">
      <c r="A1277" s="163"/>
    </row>
    <row r="1278" spans="1:1" x14ac:dyDescent="0.25">
      <c r="A1278" s="163"/>
    </row>
    <row r="1279" spans="1:1" x14ac:dyDescent="0.25">
      <c r="A1279" s="163"/>
    </row>
    <row r="1280" spans="1:1" x14ac:dyDescent="0.25">
      <c r="A1280" s="163"/>
    </row>
    <row r="1281" spans="1:1" x14ac:dyDescent="0.25">
      <c r="A1281" s="163"/>
    </row>
    <row r="1282" spans="1:1" x14ac:dyDescent="0.25">
      <c r="A1282" s="163"/>
    </row>
    <row r="1283" spans="1:1" x14ac:dyDescent="0.25">
      <c r="A1283" s="163"/>
    </row>
    <row r="1284" spans="1:1" x14ac:dyDescent="0.25">
      <c r="A1284" s="163"/>
    </row>
    <row r="1285" spans="1:1" x14ac:dyDescent="0.25">
      <c r="A1285" s="163"/>
    </row>
    <row r="1286" spans="1:1" x14ac:dyDescent="0.25">
      <c r="A1286" s="163"/>
    </row>
    <row r="1287" spans="1:1" x14ac:dyDescent="0.25">
      <c r="A1287" s="163"/>
    </row>
    <row r="1288" spans="1:1" x14ac:dyDescent="0.25">
      <c r="A1288" s="163"/>
    </row>
    <row r="1289" spans="1:1" x14ac:dyDescent="0.25">
      <c r="A1289" s="163"/>
    </row>
    <row r="1290" spans="1:1" x14ac:dyDescent="0.25">
      <c r="A1290" s="163"/>
    </row>
    <row r="1291" spans="1:1" x14ac:dyDescent="0.25">
      <c r="A1291" s="163"/>
    </row>
    <row r="1292" spans="1:1" x14ac:dyDescent="0.25">
      <c r="A1292" s="163"/>
    </row>
    <row r="1293" spans="1:1" x14ac:dyDescent="0.25">
      <c r="A1293" s="163"/>
    </row>
    <row r="1294" spans="1:1" x14ac:dyDescent="0.25">
      <c r="A1294" s="163"/>
    </row>
    <row r="1295" spans="1:1" x14ac:dyDescent="0.25">
      <c r="A1295" s="163"/>
    </row>
    <row r="1296" spans="1:1" x14ac:dyDescent="0.25">
      <c r="A1296" s="163"/>
    </row>
    <row r="1297" spans="1:1" x14ac:dyDescent="0.25">
      <c r="A1297" s="163"/>
    </row>
    <row r="1298" spans="1:1" x14ac:dyDescent="0.25">
      <c r="A1298" s="163"/>
    </row>
    <row r="1299" spans="1:1" x14ac:dyDescent="0.25">
      <c r="A1299" s="163"/>
    </row>
    <row r="1300" spans="1:1" x14ac:dyDescent="0.25">
      <c r="A1300" s="163"/>
    </row>
    <row r="1301" spans="1:1" x14ac:dyDescent="0.25">
      <c r="A1301" s="163"/>
    </row>
    <row r="1302" spans="1:1" x14ac:dyDescent="0.25">
      <c r="A1302" s="163"/>
    </row>
    <row r="1303" spans="1:1" x14ac:dyDescent="0.25">
      <c r="A1303" s="163"/>
    </row>
    <row r="1304" spans="1:1" x14ac:dyDescent="0.25">
      <c r="A1304" s="163"/>
    </row>
    <row r="1305" spans="1:1" x14ac:dyDescent="0.25">
      <c r="A1305" s="163"/>
    </row>
    <row r="1306" spans="1:1" x14ac:dyDescent="0.25">
      <c r="A1306" s="163"/>
    </row>
    <row r="1307" spans="1:1" x14ac:dyDescent="0.25">
      <c r="A1307" s="163"/>
    </row>
    <row r="1308" spans="1:1" x14ac:dyDescent="0.25">
      <c r="A1308" s="163"/>
    </row>
    <row r="1309" spans="1:1" x14ac:dyDescent="0.25">
      <c r="A1309" s="163"/>
    </row>
    <row r="1310" spans="1:1" x14ac:dyDescent="0.25">
      <c r="A1310" s="163"/>
    </row>
    <row r="1311" spans="1:1" x14ac:dyDescent="0.25">
      <c r="A1311" s="163"/>
    </row>
    <row r="1312" spans="1:1" x14ac:dyDescent="0.25">
      <c r="A1312" s="163"/>
    </row>
    <row r="1313" spans="1:1" x14ac:dyDescent="0.25">
      <c r="A1313" s="163"/>
    </row>
    <row r="1314" spans="1:1" x14ac:dyDescent="0.25">
      <c r="A1314" s="163"/>
    </row>
    <row r="1315" spans="1:1" x14ac:dyDescent="0.25">
      <c r="A1315" s="163"/>
    </row>
    <row r="1316" spans="1:1" x14ac:dyDescent="0.25">
      <c r="A1316" s="163"/>
    </row>
    <row r="1317" spans="1:1" x14ac:dyDescent="0.25">
      <c r="A1317" s="163"/>
    </row>
    <row r="1318" spans="1:1" x14ac:dyDescent="0.25">
      <c r="A1318" s="163"/>
    </row>
    <row r="1319" spans="1:1" x14ac:dyDescent="0.25">
      <c r="A1319" s="163"/>
    </row>
    <row r="1320" spans="1:1" x14ac:dyDescent="0.25">
      <c r="A1320" s="163"/>
    </row>
    <row r="1321" spans="1:1" x14ac:dyDescent="0.25">
      <c r="A1321" s="163"/>
    </row>
    <row r="1322" spans="1:1" x14ac:dyDescent="0.25">
      <c r="A1322" s="163"/>
    </row>
    <row r="1323" spans="1:1" x14ac:dyDescent="0.25">
      <c r="A1323" s="163"/>
    </row>
    <row r="1324" spans="1:1" x14ac:dyDescent="0.25">
      <c r="A1324" s="163"/>
    </row>
    <row r="1325" spans="1:1" x14ac:dyDescent="0.25">
      <c r="A1325" s="163"/>
    </row>
    <row r="1326" spans="1:1" x14ac:dyDescent="0.25">
      <c r="A1326" s="163"/>
    </row>
    <row r="1327" spans="1:1" x14ac:dyDescent="0.25">
      <c r="A1327" s="163"/>
    </row>
    <row r="1328" spans="1:1" x14ac:dyDescent="0.25">
      <c r="A1328" s="163"/>
    </row>
    <row r="1329" spans="1:1" x14ac:dyDescent="0.25">
      <c r="A1329" s="163"/>
    </row>
    <row r="1330" spans="1:1" x14ac:dyDescent="0.25">
      <c r="A1330" s="163"/>
    </row>
    <row r="1331" spans="1:1" x14ac:dyDescent="0.25">
      <c r="A1331" s="163"/>
    </row>
    <row r="1332" spans="1:1" x14ac:dyDescent="0.25">
      <c r="A1332" s="163"/>
    </row>
    <row r="1333" spans="1:1" x14ac:dyDescent="0.25">
      <c r="A1333" s="163"/>
    </row>
    <row r="1334" spans="1:1" x14ac:dyDescent="0.25">
      <c r="A1334" s="163"/>
    </row>
    <row r="1335" spans="1:1" x14ac:dyDescent="0.25">
      <c r="A1335" s="163"/>
    </row>
    <row r="1336" spans="1:1" x14ac:dyDescent="0.25">
      <c r="A1336" s="163"/>
    </row>
    <row r="1337" spans="1:1" x14ac:dyDescent="0.25">
      <c r="A1337" s="163"/>
    </row>
    <row r="1338" spans="1:1" x14ac:dyDescent="0.25">
      <c r="A1338" s="163"/>
    </row>
    <row r="1339" spans="1:1" x14ac:dyDescent="0.25">
      <c r="A1339" s="163"/>
    </row>
    <row r="1340" spans="1:1" x14ac:dyDescent="0.25">
      <c r="A1340" s="163"/>
    </row>
    <row r="1341" spans="1:1" x14ac:dyDescent="0.25">
      <c r="A1341" s="16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23"/>
  <sheetViews>
    <sheetView zoomScaleNormal="100" workbookViewId="0">
      <selection activeCell="D10" sqref="D10"/>
    </sheetView>
  </sheetViews>
  <sheetFormatPr defaultRowHeight="15" x14ac:dyDescent="0.25"/>
  <cols>
    <col min="1" max="1" width="10.85546875" style="5" customWidth="1"/>
    <col min="2" max="2" width="21.42578125" style="5" customWidth="1"/>
    <col min="3" max="3" width="10.28515625" style="5" customWidth="1"/>
    <col min="4" max="4" width="10.85546875" style="5" customWidth="1"/>
    <col min="5" max="5" width="24.85546875" style="5" customWidth="1"/>
    <col min="6" max="16384" width="9.140625" style="5"/>
  </cols>
  <sheetData>
    <row r="1" spans="1:10" ht="15.75" thickBot="1" x14ac:dyDescent="0.3">
      <c r="A1" s="37" t="s">
        <v>9</v>
      </c>
      <c r="B1" s="38" t="s">
        <v>29</v>
      </c>
      <c r="C1" s="39" t="s">
        <v>10</v>
      </c>
      <c r="D1" s="38" t="s">
        <v>9</v>
      </c>
      <c r="E1" s="38" t="s">
        <v>29</v>
      </c>
      <c r="F1" s="39" t="s">
        <v>10</v>
      </c>
    </row>
    <row r="2" spans="1:10" x14ac:dyDescent="0.25">
      <c r="A2" s="34"/>
      <c r="C2" s="36"/>
      <c r="D2" s="35"/>
      <c r="F2" s="9"/>
      <c r="G2" s="164" t="s">
        <v>48</v>
      </c>
      <c r="H2" s="165"/>
      <c r="I2" s="165"/>
      <c r="J2" s="166"/>
    </row>
    <row r="3" spans="1:10" x14ac:dyDescent="0.25">
      <c r="A3" s="34"/>
      <c r="C3" s="36"/>
      <c r="D3" s="35"/>
      <c r="F3" s="9"/>
      <c r="G3" s="167"/>
      <c r="H3" s="168"/>
      <c r="I3" s="168"/>
      <c r="J3" s="169"/>
    </row>
    <row r="4" spans="1:10" x14ac:dyDescent="0.25">
      <c r="A4" s="34"/>
      <c r="C4" s="36"/>
      <c r="D4" s="35"/>
      <c r="F4" s="9"/>
      <c r="G4" s="167"/>
      <c r="H4" s="168"/>
      <c r="I4" s="168"/>
      <c r="J4" s="169"/>
    </row>
    <row r="5" spans="1:10" x14ac:dyDescent="0.25">
      <c r="A5" s="34"/>
      <c r="C5" s="36"/>
      <c r="D5" s="35"/>
      <c r="F5" s="9"/>
      <c r="G5" s="167"/>
      <c r="H5" s="168"/>
      <c r="I5" s="168"/>
      <c r="J5" s="169"/>
    </row>
    <row r="6" spans="1:10" x14ac:dyDescent="0.25">
      <c r="A6" s="35"/>
      <c r="C6" s="36"/>
      <c r="D6" s="35"/>
      <c r="F6" s="9"/>
      <c r="G6" s="167"/>
      <c r="H6" s="168"/>
      <c r="I6" s="168"/>
      <c r="J6" s="169"/>
    </row>
    <row r="7" spans="1:10" x14ac:dyDescent="0.25">
      <c r="A7" s="34"/>
      <c r="C7" s="36"/>
      <c r="D7" s="35"/>
      <c r="F7" s="9"/>
      <c r="G7" s="167"/>
      <c r="H7" s="168"/>
      <c r="I7" s="168"/>
      <c r="J7" s="169"/>
    </row>
    <row r="8" spans="1:10" x14ac:dyDescent="0.25">
      <c r="A8" s="34"/>
      <c r="C8" s="36"/>
      <c r="D8" s="35"/>
      <c r="F8" s="9"/>
      <c r="G8" s="167"/>
      <c r="H8" s="168"/>
      <c r="I8" s="168"/>
      <c r="J8" s="169"/>
    </row>
    <row r="9" spans="1:10" x14ac:dyDescent="0.25">
      <c r="A9" s="34"/>
      <c r="C9" s="36"/>
      <c r="D9" s="35"/>
      <c r="F9" s="9"/>
      <c r="G9" s="167"/>
      <c r="H9" s="168"/>
      <c r="I9" s="168"/>
      <c r="J9" s="169"/>
    </row>
    <row r="10" spans="1:10" ht="15.75" thickBot="1" x14ac:dyDescent="0.3">
      <c r="A10" s="34"/>
      <c r="C10" s="36"/>
      <c r="D10" s="35"/>
      <c r="F10" s="9"/>
      <c r="G10" s="170"/>
      <c r="H10" s="171"/>
      <c r="I10" s="171"/>
      <c r="J10" s="172"/>
    </row>
    <row r="11" spans="1:10" x14ac:dyDescent="0.25">
      <c r="A11" s="34"/>
      <c r="C11" s="36"/>
      <c r="D11" s="35"/>
      <c r="F11" s="9"/>
    </row>
    <row r="12" spans="1:10" x14ac:dyDescent="0.25">
      <c r="A12" s="34"/>
      <c r="C12" s="36"/>
      <c r="D12" s="35"/>
      <c r="F12" s="9"/>
    </row>
    <row r="13" spans="1:10" x14ac:dyDescent="0.25">
      <c r="A13" s="34"/>
      <c r="C13" s="36"/>
      <c r="D13" s="35"/>
      <c r="F13" s="9"/>
    </row>
    <row r="14" spans="1:10" x14ac:dyDescent="0.25">
      <c r="A14" s="34"/>
      <c r="C14" s="36"/>
      <c r="D14" s="35"/>
      <c r="F14" s="9"/>
    </row>
    <row r="15" spans="1:10" x14ac:dyDescent="0.25">
      <c r="A15" s="34"/>
      <c r="C15" s="36"/>
      <c r="D15" s="35"/>
      <c r="F15" s="9"/>
    </row>
    <row r="16" spans="1:10" x14ac:dyDescent="0.25">
      <c r="A16" s="34"/>
      <c r="C16" s="36"/>
      <c r="D16" s="35"/>
      <c r="F16" s="9"/>
    </row>
    <row r="17" spans="1:6" x14ac:dyDescent="0.25">
      <c r="A17" s="34"/>
      <c r="C17" s="36"/>
      <c r="D17" s="35"/>
      <c r="F17" s="9"/>
    </row>
    <row r="18" spans="1:6" x14ac:dyDescent="0.25">
      <c r="A18" s="34"/>
      <c r="C18" s="36"/>
      <c r="D18" s="35"/>
      <c r="F18" s="9"/>
    </row>
    <row r="19" spans="1:6" x14ac:dyDescent="0.25">
      <c r="A19" s="34"/>
      <c r="C19" s="36"/>
      <c r="D19" s="35"/>
      <c r="F19" s="9"/>
    </row>
    <row r="20" spans="1:6" x14ac:dyDescent="0.25">
      <c r="A20" s="34"/>
      <c r="C20" s="36"/>
      <c r="D20" s="35"/>
      <c r="F20" s="9"/>
    </row>
    <row r="21" spans="1:6" x14ac:dyDescent="0.25">
      <c r="A21" s="34"/>
      <c r="C21" s="36"/>
      <c r="D21" s="35"/>
      <c r="F21" s="9"/>
    </row>
    <row r="22" spans="1:6" x14ac:dyDescent="0.25">
      <c r="A22" s="34"/>
      <c r="C22" s="36"/>
      <c r="D22" s="35"/>
      <c r="F22" s="9"/>
    </row>
    <row r="23" spans="1:6" x14ac:dyDescent="0.25">
      <c r="A23" s="34"/>
      <c r="C23" s="36"/>
      <c r="D23" s="35"/>
      <c r="F23" s="9"/>
    </row>
    <row r="24" spans="1:6" x14ac:dyDescent="0.25">
      <c r="A24" s="34"/>
      <c r="C24" s="36"/>
      <c r="D24" s="35"/>
      <c r="F24" s="9"/>
    </row>
    <row r="25" spans="1:6" x14ac:dyDescent="0.25">
      <c r="A25" s="34"/>
      <c r="C25" s="36"/>
      <c r="D25" s="35"/>
      <c r="F25" s="9"/>
    </row>
    <row r="26" spans="1:6" x14ac:dyDescent="0.25">
      <c r="A26" s="34"/>
      <c r="C26" s="36"/>
      <c r="D26" s="35"/>
      <c r="F26" s="9"/>
    </row>
    <row r="27" spans="1:6" x14ac:dyDescent="0.25">
      <c r="A27" s="34"/>
      <c r="C27" s="36"/>
      <c r="D27" s="35"/>
      <c r="F27" s="9"/>
    </row>
    <row r="28" spans="1:6" x14ac:dyDescent="0.25">
      <c r="A28" s="34"/>
      <c r="C28" s="36"/>
      <c r="D28" s="35"/>
      <c r="F28" s="9"/>
    </row>
    <row r="29" spans="1:6" x14ac:dyDescent="0.25">
      <c r="A29" s="34"/>
      <c r="C29" s="36"/>
      <c r="D29" s="35"/>
      <c r="F29" s="9"/>
    </row>
    <row r="30" spans="1:6" x14ac:dyDescent="0.25">
      <c r="A30" s="34"/>
      <c r="C30" s="36"/>
      <c r="D30" s="35"/>
      <c r="F30" s="9"/>
    </row>
    <row r="31" spans="1:6" x14ac:dyDescent="0.25">
      <c r="A31" s="34"/>
      <c r="C31" s="36"/>
      <c r="D31" s="35"/>
      <c r="F31" s="9"/>
    </row>
    <row r="32" spans="1:6" x14ac:dyDescent="0.25">
      <c r="A32" s="34"/>
      <c r="C32" s="36"/>
      <c r="D32" s="35"/>
      <c r="F32" s="9"/>
    </row>
    <row r="33" spans="1:6" x14ac:dyDescent="0.25">
      <c r="A33" s="34"/>
      <c r="C33" s="36"/>
      <c r="D33" s="35"/>
      <c r="F33" s="9"/>
    </row>
    <row r="34" spans="1:6" x14ac:dyDescent="0.25">
      <c r="A34" s="34"/>
      <c r="C34" s="36"/>
      <c r="D34" s="35"/>
      <c r="F34" s="9"/>
    </row>
    <row r="35" spans="1:6" x14ac:dyDescent="0.25">
      <c r="A35" s="34"/>
      <c r="C35" s="36"/>
      <c r="D35" s="35"/>
      <c r="F35" s="9"/>
    </row>
    <row r="36" spans="1:6" x14ac:dyDescent="0.25">
      <c r="A36" s="34"/>
      <c r="C36" s="36"/>
      <c r="D36" s="35"/>
      <c r="F36" s="9"/>
    </row>
    <row r="37" spans="1:6" x14ac:dyDescent="0.25">
      <c r="A37" s="34"/>
      <c r="C37" s="36"/>
      <c r="D37" s="35"/>
      <c r="F37" s="9"/>
    </row>
    <row r="38" spans="1:6" x14ac:dyDescent="0.25">
      <c r="A38" s="34"/>
      <c r="C38" s="36"/>
      <c r="D38" s="35"/>
      <c r="F38" s="9"/>
    </row>
    <row r="39" spans="1:6" x14ac:dyDescent="0.25">
      <c r="A39" s="34"/>
      <c r="C39" s="36"/>
      <c r="D39" s="35"/>
      <c r="F39" s="9"/>
    </row>
    <row r="40" spans="1:6" x14ac:dyDescent="0.25">
      <c r="A40" s="34"/>
      <c r="C40" s="36"/>
      <c r="D40" s="35"/>
      <c r="F40" s="9"/>
    </row>
    <row r="41" spans="1:6" x14ac:dyDescent="0.25">
      <c r="A41" s="34"/>
      <c r="C41" s="36"/>
      <c r="D41" s="35"/>
      <c r="F41" s="9"/>
    </row>
    <row r="42" spans="1:6" x14ac:dyDescent="0.25">
      <c r="A42" s="34"/>
      <c r="C42" s="36"/>
      <c r="D42" s="35"/>
      <c r="F42" s="9"/>
    </row>
    <row r="43" spans="1:6" x14ac:dyDescent="0.25">
      <c r="A43" s="34"/>
      <c r="C43" s="36"/>
      <c r="D43" s="35"/>
      <c r="F43" s="9"/>
    </row>
    <row r="44" spans="1:6" x14ac:dyDescent="0.25">
      <c r="A44" s="34"/>
      <c r="C44" s="36"/>
      <c r="D44" s="35"/>
      <c r="F44" s="9"/>
    </row>
    <row r="45" spans="1:6" x14ac:dyDescent="0.25">
      <c r="A45" s="34"/>
      <c r="C45" s="36"/>
      <c r="D45" s="35"/>
      <c r="F45" s="9"/>
    </row>
    <row r="46" spans="1:6" x14ac:dyDescent="0.25">
      <c r="A46" s="34"/>
      <c r="C46" s="36"/>
      <c r="D46" s="35"/>
      <c r="F46" s="9"/>
    </row>
    <row r="47" spans="1:6" x14ac:dyDescent="0.25">
      <c r="A47" s="34"/>
      <c r="C47" s="36"/>
      <c r="D47" s="35"/>
      <c r="F47" s="9"/>
    </row>
    <row r="48" spans="1:6" x14ac:dyDescent="0.25">
      <c r="A48" s="34"/>
      <c r="C48" s="36"/>
      <c r="D48" s="35"/>
      <c r="F48" s="9"/>
    </row>
    <row r="49" spans="1:6" x14ac:dyDescent="0.25">
      <c r="A49" s="34"/>
      <c r="C49" s="36"/>
      <c r="D49" s="35"/>
      <c r="F49" s="9"/>
    </row>
    <row r="50" spans="1:6" x14ac:dyDescent="0.25">
      <c r="A50" s="34"/>
      <c r="C50" s="36"/>
      <c r="D50" s="35"/>
      <c r="F50" s="9"/>
    </row>
    <row r="51" spans="1:6" x14ac:dyDescent="0.25">
      <c r="A51" s="34"/>
      <c r="C51" s="36"/>
      <c r="D51" s="35"/>
      <c r="F51" s="9"/>
    </row>
    <row r="52" spans="1:6" x14ac:dyDescent="0.25">
      <c r="A52" s="34"/>
      <c r="C52" s="36"/>
      <c r="D52" s="35"/>
      <c r="F52" s="9"/>
    </row>
    <row r="53" spans="1:6" x14ac:dyDescent="0.25">
      <c r="A53" s="34"/>
      <c r="C53" s="36"/>
      <c r="D53" s="35"/>
      <c r="F53" s="9"/>
    </row>
    <row r="54" spans="1:6" x14ac:dyDescent="0.25">
      <c r="A54" s="34"/>
      <c r="C54" s="36"/>
      <c r="D54" s="35"/>
      <c r="F54" s="9"/>
    </row>
    <row r="55" spans="1:6" x14ac:dyDescent="0.25">
      <c r="A55" s="34"/>
      <c r="C55" s="36"/>
      <c r="D55" s="35"/>
      <c r="F55" s="9"/>
    </row>
    <row r="56" spans="1:6" x14ac:dyDescent="0.25">
      <c r="A56" s="34"/>
      <c r="C56" s="36"/>
      <c r="D56" s="35"/>
      <c r="F56" s="9"/>
    </row>
    <row r="57" spans="1:6" x14ac:dyDescent="0.25">
      <c r="A57" s="34"/>
      <c r="C57" s="36"/>
      <c r="D57" s="35"/>
      <c r="F57" s="9"/>
    </row>
    <row r="58" spans="1:6" x14ac:dyDescent="0.25">
      <c r="A58" s="35"/>
      <c r="C58" s="9"/>
      <c r="D58" s="35"/>
      <c r="F58" s="9"/>
    </row>
    <row r="59" spans="1:6" x14ac:dyDescent="0.25">
      <c r="A59" s="34"/>
      <c r="C59" s="36"/>
      <c r="D59" s="35"/>
      <c r="F59" s="9"/>
    </row>
    <row r="60" spans="1:6" x14ac:dyDescent="0.25">
      <c r="A60" s="34"/>
      <c r="C60" s="36"/>
      <c r="D60" s="35"/>
      <c r="F60" s="9"/>
    </row>
    <row r="61" spans="1:6" x14ac:dyDescent="0.25">
      <c r="A61" s="35"/>
      <c r="C61" s="9"/>
      <c r="D61" s="35"/>
      <c r="F61" s="9"/>
    </row>
    <row r="62" spans="1:6" x14ac:dyDescent="0.25">
      <c r="A62" s="34"/>
      <c r="C62" s="36"/>
      <c r="D62" s="35"/>
      <c r="F62" s="9"/>
    </row>
    <row r="63" spans="1:6" x14ac:dyDescent="0.25">
      <c r="A63" s="34"/>
      <c r="C63" s="36"/>
      <c r="D63" s="35"/>
      <c r="F63" s="9"/>
    </row>
    <row r="64" spans="1:6" x14ac:dyDescent="0.25">
      <c r="A64" s="35"/>
      <c r="C64" s="9"/>
      <c r="D64" s="35"/>
      <c r="F64" s="9"/>
    </row>
    <row r="65" spans="1:6" x14ac:dyDescent="0.25">
      <c r="A65" s="35"/>
      <c r="C65" s="9"/>
      <c r="D65" s="35"/>
      <c r="F65" s="9"/>
    </row>
    <row r="66" spans="1:6" x14ac:dyDescent="0.25">
      <c r="A66" s="35"/>
      <c r="C66" s="9"/>
      <c r="D66" s="35"/>
      <c r="F66" s="9"/>
    </row>
    <row r="67" spans="1:6" x14ac:dyDescent="0.25">
      <c r="A67" s="34"/>
      <c r="C67" s="36"/>
      <c r="D67" s="35"/>
      <c r="F67" s="9"/>
    </row>
    <row r="68" spans="1:6" x14ac:dyDescent="0.25">
      <c r="A68" s="34"/>
      <c r="C68" s="36"/>
      <c r="D68" s="35"/>
      <c r="F68" s="9"/>
    </row>
    <row r="69" spans="1:6" x14ac:dyDescent="0.25">
      <c r="A69" s="34"/>
      <c r="C69" s="36"/>
      <c r="D69" s="35"/>
      <c r="F69" s="9"/>
    </row>
    <row r="70" spans="1:6" x14ac:dyDescent="0.25">
      <c r="A70" s="34"/>
      <c r="C70" s="36"/>
      <c r="D70" s="35"/>
      <c r="F70" s="9"/>
    </row>
    <row r="71" spans="1:6" x14ac:dyDescent="0.25">
      <c r="A71" s="34"/>
      <c r="C71" s="36"/>
      <c r="D71" s="35"/>
      <c r="F71" s="9"/>
    </row>
    <row r="72" spans="1:6" x14ac:dyDescent="0.25">
      <c r="A72" s="34"/>
      <c r="C72" s="36"/>
      <c r="D72" s="35"/>
      <c r="F72" s="9"/>
    </row>
    <row r="73" spans="1:6" x14ac:dyDescent="0.25">
      <c r="A73" s="34"/>
      <c r="C73" s="36"/>
      <c r="D73" s="35"/>
      <c r="F73" s="9"/>
    </row>
    <row r="74" spans="1:6" x14ac:dyDescent="0.25">
      <c r="A74" s="34"/>
      <c r="C74" s="36"/>
      <c r="D74" s="35"/>
      <c r="F74" s="9"/>
    </row>
    <row r="75" spans="1:6" x14ac:dyDescent="0.25">
      <c r="A75" s="35"/>
      <c r="C75" s="9"/>
      <c r="D75" s="35"/>
      <c r="F75" s="9"/>
    </row>
    <row r="76" spans="1:6" x14ac:dyDescent="0.25">
      <c r="A76" s="34"/>
      <c r="C76" s="36"/>
      <c r="D76" s="35"/>
      <c r="F76" s="9"/>
    </row>
    <row r="77" spans="1:6" x14ac:dyDescent="0.25">
      <c r="A77" s="35"/>
      <c r="C77" s="9"/>
      <c r="D77" s="35"/>
      <c r="F77" s="9"/>
    </row>
    <row r="78" spans="1:6" x14ac:dyDescent="0.25">
      <c r="A78" s="34"/>
      <c r="C78" s="36"/>
      <c r="D78" s="35"/>
      <c r="F78" s="9"/>
    </row>
    <row r="79" spans="1:6" x14ac:dyDescent="0.25">
      <c r="A79" s="35"/>
      <c r="C79" s="9"/>
      <c r="D79" s="35"/>
      <c r="F79" s="9"/>
    </row>
    <row r="80" spans="1:6" x14ac:dyDescent="0.25">
      <c r="A80" s="35"/>
      <c r="C80" s="9"/>
      <c r="D80" s="35"/>
      <c r="F80" s="9"/>
    </row>
    <row r="81" spans="1:6" x14ac:dyDescent="0.25">
      <c r="A81" s="35"/>
      <c r="C81" s="9"/>
      <c r="D81" s="35"/>
      <c r="F81" s="9"/>
    </row>
    <row r="82" spans="1:6" x14ac:dyDescent="0.25">
      <c r="A82" s="35"/>
      <c r="C82" s="9"/>
      <c r="D82" s="35"/>
      <c r="F82" s="9"/>
    </row>
    <row r="83" spans="1:6" x14ac:dyDescent="0.25">
      <c r="A83" s="35"/>
      <c r="C83" s="9"/>
      <c r="D83" s="35"/>
      <c r="F83" s="9"/>
    </row>
    <row r="84" spans="1:6" x14ac:dyDescent="0.25">
      <c r="A84" s="35"/>
      <c r="C84" s="9"/>
      <c r="D84" s="35"/>
      <c r="F84" s="9"/>
    </row>
    <row r="85" spans="1:6" x14ac:dyDescent="0.25">
      <c r="A85" s="35"/>
      <c r="C85" s="9"/>
      <c r="D85" s="35"/>
      <c r="F85" s="9"/>
    </row>
    <row r="86" spans="1:6" x14ac:dyDescent="0.25">
      <c r="A86" s="35"/>
      <c r="C86" s="9"/>
      <c r="D86" s="35"/>
      <c r="F86" s="9"/>
    </row>
    <row r="87" spans="1:6" x14ac:dyDescent="0.25">
      <c r="A87" s="35"/>
      <c r="C87" s="9"/>
      <c r="D87" s="35"/>
      <c r="F87" s="9"/>
    </row>
    <row r="88" spans="1:6" x14ac:dyDescent="0.25">
      <c r="A88" s="35"/>
      <c r="C88" s="9"/>
      <c r="D88" s="35"/>
      <c r="F88" s="9"/>
    </row>
    <row r="89" spans="1:6" x14ac:dyDescent="0.25">
      <c r="A89" s="35"/>
      <c r="C89" s="9"/>
      <c r="D89" s="35"/>
      <c r="F89" s="9"/>
    </row>
    <row r="90" spans="1:6" x14ac:dyDescent="0.25">
      <c r="A90" s="35"/>
      <c r="C90" s="9"/>
      <c r="D90" s="35"/>
      <c r="F90" s="9"/>
    </row>
    <row r="91" spans="1:6" x14ac:dyDescent="0.25">
      <c r="A91" s="35"/>
      <c r="C91" s="9"/>
      <c r="D91" s="35"/>
      <c r="F91" s="9"/>
    </row>
    <row r="92" spans="1:6" x14ac:dyDescent="0.25">
      <c r="A92" s="35"/>
      <c r="C92" s="9"/>
      <c r="D92" s="35"/>
      <c r="F92" s="9"/>
    </row>
    <row r="93" spans="1:6" x14ac:dyDescent="0.25">
      <c r="A93" s="35"/>
      <c r="C93" s="9"/>
      <c r="D93" s="35"/>
      <c r="F93" s="9"/>
    </row>
    <row r="94" spans="1:6" x14ac:dyDescent="0.25">
      <c r="A94" s="35"/>
      <c r="C94" s="9"/>
      <c r="D94" s="35"/>
      <c r="F94" s="9"/>
    </row>
    <row r="95" spans="1:6" x14ac:dyDescent="0.25">
      <c r="A95" s="35"/>
      <c r="C95" s="9"/>
      <c r="D95" s="35"/>
      <c r="F95" s="9"/>
    </row>
    <row r="96" spans="1:6" x14ac:dyDescent="0.25">
      <c r="A96" s="35"/>
      <c r="C96" s="9"/>
      <c r="D96" s="35"/>
      <c r="F96" s="9"/>
    </row>
    <row r="97" spans="1:6" x14ac:dyDescent="0.25">
      <c r="A97" s="35"/>
      <c r="C97" s="9"/>
      <c r="D97" s="35"/>
      <c r="F97" s="9"/>
    </row>
    <row r="98" spans="1:6" x14ac:dyDescent="0.25">
      <c r="A98" s="35"/>
      <c r="C98" s="9"/>
      <c r="D98" s="35"/>
      <c r="F98" s="9"/>
    </row>
    <row r="99" spans="1:6" x14ac:dyDescent="0.25">
      <c r="A99" s="35"/>
      <c r="C99" s="9"/>
      <c r="D99" s="35"/>
      <c r="F99" s="9"/>
    </row>
    <row r="100" spans="1:6" x14ac:dyDescent="0.25">
      <c r="A100" s="35"/>
      <c r="C100" s="9"/>
      <c r="D100" s="35"/>
      <c r="F100" s="9"/>
    </row>
    <row r="101" spans="1:6" x14ac:dyDescent="0.25">
      <c r="A101" s="35"/>
      <c r="C101" s="9"/>
      <c r="D101" s="35"/>
      <c r="F101" s="9"/>
    </row>
    <row r="102" spans="1:6" x14ac:dyDescent="0.25">
      <c r="A102" s="35"/>
      <c r="C102" s="9"/>
      <c r="D102" s="35"/>
      <c r="F102" s="9"/>
    </row>
    <row r="103" spans="1:6" x14ac:dyDescent="0.25">
      <c r="A103" s="35"/>
      <c r="C103" s="9"/>
      <c r="D103" s="35"/>
      <c r="F103" s="9"/>
    </row>
    <row r="104" spans="1:6" x14ac:dyDescent="0.25">
      <c r="A104" s="35"/>
      <c r="C104" s="9"/>
      <c r="D104" s="35"/>
      <c r="F104" s="9"/>
    </row>
    <row r="105" spans="1:6" x14ac:dyDescent="0.25">
      <c r="A105" s="35"/>
      <c r="C105" s="9"/>
      <c r="D105" s="35"/>
      <c r="F105" s="9"/>
    </row>
    <row r="106" spans="1:6" x14ac:dyDescent="0.25">
      <c r="A106" s="35"/>
      <c r="C106" s="9"/>
      <c r="D106" s="35"/>
      <c r="F106" s="9"/>
    </row>
    <row r="107" spans="1:6" x14ac:dyDescent="0.25">
      <c r="A107" s="35"/>
      <c r="C107" s="9"/>
      <c r="D107" s="35"/>
      <c r="F107" s="9"/>
    </row>
    <row r="108" spans="1:6" x14ac:dyDescent="0.25">
      <c r="A108" s="35"/>
      <c r="C108" s="9"/>
      <c r="D108" s="35"/>
      <c r="F108" s="9"/>
    </row>
    <row r="109" spans="1:6" x14ac:dyDescent="0.25">
      <c r="A109" s="35"/>
      <c r="C109" s="9"/>
      <c r="D109" s="35"/>
      <c r="F109" s="9"/>
    </row>
    <row r="110" spans="1:6" x14ac:dyDescent="0.25">
      <c r="A110" s="35"/>
      <c r="C110" s="9"/>
      <c r="D110" s="35"/>
      <c r="F110" s="9"/>
    </row>
    <row r="111" spans="1:6" x14ac:dyDescent="0.25">
      <c r="A111" s="35"/>
      <c r="C111" s="9"/>
      <c r="D111" s="35"/>
      <c r="F111" s="9"/>
    </row>
    <row r="112" spans="1:6" x14ac:dyDescent="0.25">
      <c r="A112" s="35"/>
      <c r="C112" s="9"/>
      <c r="D112" s="35"/>
      <c r="F112" s="9"/>
    </row>
    <row r="113" spans="1:6" x14ac:dyDescent="0.25">
      <c r="A113" s="35"/>
      <c r="C113" s="9"/>
      <c r="D113" s="35"/>
      <c r="F113" s="9"/>
    </row>
    <row r="114" spans="1:6" x14ac:dyDescent="0.25">
      <c r="A114" s="35"/>
      <c r="C114" s="9"/>
      <c r="D114" s="35"/>
      <c r="F114" s="9"/>
    </row>
    <row r="115" spans="1:6" x14ac:dyDescent="0.25">
      <c r="A115" s="35"/>
      <c r="C115" s="9"/>
      <c r="D115" s="35"/>
      <c r="F115" s="9"/>
    </row>
    <row r="116" spans="1:6" x14ac:dyDescent="0.25">
      <c r="A116" s="35"/>
      <c r="C116" s="9"/>
      <c r="D116" s="35"/>
      <c r="F116" s="9"/>
    </row>
    <row r="117" spans="1:6" x14ac:dyDescent="0.25">
      <c r="A117" s="35"/>
      <c r="C117" s="9"/>
      <c r="D117" s="35"/>
      <c r="F117" s="9"/>
    </row>
    <row r="118" spans="1:6" x14ac:dyDescent="0.25">
      <c r="A118" s="35"/>
      <c r="C118" s="9"/>
      <c r="D118" s="35"/>
      <c r="F118" s="9"/>
    </row>
    <row r="119" spans="1:6" x14ac:dyDescent="0.25">
      <c r="A119" s="35"/>
      <c r="C119" s="9"/>
      <c r="D119" s="35"/>
      <c r="F119" s="9"/>
    </row>
    <row r="120" spans="1:6" x14ac:dyDescent="0.25">
      <c r="A120" s="35"/>
      <c r="C120" s="9"/>
      <c r="D120" s="35"/>
      <c r="F120" s="9"/>
    </row>
    <row r="121" spans="1:6" x14ac:dyDescent="0.25">
      <c r="A121" s="35"/>
      <c r="C121" s="9"/>
      <c r="D121" s="35"/>
      <c r="F121" s="9"/>
    </row>
    <row r="122" spans="1:6" x14ac:dyDescent="0.25">
      <c r="A122" s="35"/>
      <c r="C122" s="9"/>
      <c r="D122" s="35"/>
      <c r="F122" s="9"/>
    </row>
    <row r="123" spans="1:6" x14ac:dyDescent="0.25">
      <c r="A123" s="35"/>
      <c r="C123" s="9"/>
      <c r="D123" s="35"/>
      <c r="F123" s="9"/>
    </row>
    <row r="124" spans="1:6" x14ac:dyDescent="0.25">
      <c r="A124" s="35"/>
      <c r="C124" s="9"/>
      <c r="D124" s="35"/>
      <c r="F124" s="9"/>
    </row>
    <row r="125" spans="1:6" x14ac:dyDescent="0.25">
      <c r="A125" s="35"/>
      <c r="C125" s="9"/>
      <c r="D125" s="35"/>
      <c r="F125" s="9"/>
    </row>
    <row r="126" spans="1:6" x14ac:dyDescent="0.25">
      <c r="A126" s="35"/>
      <c r="C126" s="9"/>
      <c r="D126" s="35"/>
      <c r="F126" s="9"/>
    </row>
    <row r="127" spans="1:6" x14ac:dyDescent="0.25">
      <c r="A127" s="35"/>
      <c r="C127" s="9"/>
      <c r="D127" s="35"/>
      <c r="F127" s="9"/>
    </row>
    <row r="128" spans="1:6" x14ac:dyDescent="0.25">
      <c r="A128" s="35"/>
      <c r="C128" s="9"/>
      <c r="D128" s="35"/>
      <c r="F128" s="9"/>
    </row>
    <row r="129" spans="1:6" x14ac:dyDescent="0.25">
      <c r="A129" s="35"/>
      <c r="C129" s="9"/>
      <c r="D129" s="35"/>
      <c r="F129" s="9"/>
    </row>
    <row r="130" spans="1:6" x14ac:dyDescent="0.25">
      <c r="A130" s="35"/>
      <c r="C130" s="9"/>
      <c r="D130" s="35"/>
      <c r="F130" s="9"/>
    </row>
    <row r="131" spans="1:6" x14ac:dyDescent="0.25">
      <c r="A131" s="35"/>
      <c r="C131" s="9"/>
      <c r="D131" s="35"/>
      <c r="F131" s="9"/>
    </row>
    <row r="132" spans="1:6" x14ac:dyDescent="0.25">
      <c r="A132" s="35"/>
      <c r="C132" s="9"/>
      <c r="D132" s="35"/>
      <c r="F132" s="9"/>
    </row>
    <row r="133" spans="1:6" x14ac:dyDescent="0.25">
      <c r="A133" s="35"/>
      <c r="C133" s="9"/>
      <c r="D133" s="35"/>
      <c r="F133" s="9"/>
    </row>
    <row r="134" spans="1:6" x14ac:dyDescent="0.25">
      <c r="A134" s="35"/>
      <c r="C134" s="9"/>
      <c r="D134" s="35"/>
      <c r="F134" s="9"/>
    </row>
    <row r="135" spans="1:6" x14ac:dyDescent="0.25">
      <c r="A135" s="35"/>
      <c r="C135" s="9"/>
      <c r="D135" s="35"/>
      <c r="F135" s="9"/>
    </row>
    <row r="136" spans="1:6" x14ac:dyDescent="0.25">
      <c r="A136" s="35"/>
      <c r="C136" s="9"/>
      <c r="D136" s="35"/>
      <c r="F136" s="9"/>
    </row>
    <row r="137" spans="1:6" x14ac:dyDescent="0.25">
      <c r="A137" s="35"/>
      <c r="C137" s="9"/>
      <c r="D137" s="35"/>
      <c r="F137" s="9"/>
    </row>
    <row r="138" spans="1:6" x14ac:dyDescent="0.25">
      <c r="A138" s="35"/>
      <c r="C138" s="9"/>
      <c r="D138" s="35"/>
      <c r="F138" s="9"/>
    </row>
    <row r="139" spans="1:6" x14ac:dyDescent="0.25">
      <c r="A139" s="35"/>
      <c r="C139" s="9"/>
      <c r="D139" s="35"/>
      <c r="F139" s="9"/>
    </row>
    <row r="140" spans="1:6" x14ac:dyDescent="0.25">
      <c r="A140" s="35"/>
      <c r="C140" s="9"/>
      <c r="D140" s="35"/>
      <c r="F140" s="9"/>
    </row>
    <row r="141" spans="1:6" x14ac:dyDescent="0.25">
      <c r="A141" s="35"/>
      <c r="C141" s="9"/>
      <c r="D141" s="35"/>
      <c r="F141" s="9"/>
    </row>
    <row r="142" spans="1:6" x14ac:dyDescent="0.25">
      <c r="A142" s="35"/>
      <c r="C142" s="9"/>
      <c r="D142" s="35"/>
      <c r="F142" s="9"/>
    </row>
    <row r="143" spans="1:6" x14ac:dyDescent="0.25">
      <c r="A143" s="35"/>
      <c r="C143" s="9"/>
      <c r="D143" s="35"/>
      <c r="F143" s="9"/>
    </row>
    <row r="144" spans="1:6" x14ac:dyDescent="0.25">
      <c r="A144" s="35"/>
      <c r="C144" s="9"/>
      <c r="D144" s="35"/>
      <c r="F144" s="9"/>
    </row>
    <row r="145" spans="1:6" x14ac:dyDescent="0.25">
      <c r="A145" s="35"/>
      <c r="C145" s="9"/>
      <c r="D145" s="35"/>
      <c r="F145" s="9"/>
    </row>
    <row r="146" spans="1:6" x14ac:dyDescent="0.25">
      <c r="A146" s="35"/>
      <c r="C146" s="9"/>
      <c r="D146" s="35"/>
      <c r="F146" s="9"/>
    </row>
    <row r="147" spans="1:6" x14ac:dyDescent="0.25">
      <c r="A147" s="35"/>
      <c r="C147" s="9"/>
      <c r="D147" s="35"/>
      <c r="F147" s="9"/>
    </row>
    <row r="148" spans="1:6" x14ac:dyDescent="0.25">
      <c r="A148" s="35"/>
      <c r="C148" s="9"/>
      <c r="D148" s="35"/>
      <c r="F148" s="9"/>
    </row>
    <row r="149" spans="1:6" x14ac:dyDescent="0.25">
      <c r="A149" s="35"/>
      <c r="C149" s="9"/>
      <c r="D149" s="35"/>
      <c r="F149" s="9"/>
    </row>
    <row r="150" spans="1:6" x14ac:dyDescent="0.25">
      <c r="A150" s="35"/>
      <c r="C150" s="9"/>
      <c r="D150" s="35"/>
      <c r="F150" s="9"/>
    </row>
    <row r="151" spans="1:6" x14ac:dyDescent="0.25">
      <c r="A151" s="35"/>
      <c r="C151" s="9"/>
      <c r="D151" s="35"/>
      <c r="F151" s="9"/>
    </row>
    <row r="152" spans="1:6" x14ac:dyDescent="0.25">
      <c r="A152" s="35"/>
      <c r="C152" s="9"/>
      <c r="D152" s="35"/>
      <c r="F152" s="9"/>
    </row>
    <row r="153" spans="1:6" x14ac:dyDescent="0.25">
      <c r="A153" s="35"/>
      <c r="C153" s="9"/>
      <c r="D153" s="35"/>
      <c r="F153" s="9"/>
    </row>
    <row r="154" spans="1:6" x14ac:dyDescent="0.25">
      <c r="A154" s="35"/>
      <c r="C154" s="9"/>
      <c r="D154" s="35"/>
      <c r="F154" s="9"/>
    </row>
    <row r="155" spans="1:6" x14ac:dyDescent="0.25">
      <c r="A155" s="35"/>
      <c r="C155" s="9"/>
      <c r="D155" s="35"/>
      <c r="F155" s="9"/>
    </row>
    <row r="156" spans="1:6" x14ac:dyDescent="0.25">
      <c r="A156" s="35"/>
      <c r="C156" s="9"/>
      <c r="D156" s="35"/>
      <c r="F156" s="9"/>
    </row>
    <row r="157" spans="1:6" x14ac:dyDescent="0.25">
      <c r="A157" s="35"/>
      <c r="C157" s="9"/>
      <c r="D157" s="35"/>
      <c r="F157" s="9"/>
    </row>
    <row r="158" spans="1:6" x14ac:dyDescent="0.25">
      <c r="A158" s="35"/>
      <c r="C158" s="9"/>
      <c r="D158" s="35"/>
      <c r="F158" s="9"/>
    </row>
    <row r="159" spans="1:6" x14ac:dyDescent="0.25">
      <c r="A159" s="35"/>
      <c r="C159" s="9"/>
      <c r="D159" s="35"/>
      <c r="F159" s="9"/>
    </row>
    <row r="160" spans="1:6" x14ac:dyDescent="0.25">
      <c r="A160" s="35"/>
      <c r="C160" s="9"/>
      <c r="D160" s="35"/>
      <c r="F160" s="9"/>
    </row>
    <row r="161" spans="1:6" x14ac:dyDescent="0.25">
      <c r="A161" s="35"/>
      <c r="C161" s="9"/>
      <c r="D161" s="35"/>
      <c r="F161" s="9"/>
    </row>
    <row r="162" spans="1:6" x14ac:dyDescent="0.25">
      <c r="A162" s="35"/>
      <c r="C162" s="9"/>
      <c r="D162" s="35"/>
      <c r="F162" s="9"/>
    </row>
    <row r="163" spans="1:6" x14ac:dyDescent="0.25">
      <c r="A163" s="35"/>
      <c r="C163" s="9"/>
      <c r="D163" s="35"/>
      <c r="F163" s="9"/>
    </row>
    <row r="164" spans="1:6" x14ac:dyDescent="0.25">
      <c r="A164" s="35"/>
      <c r="C164" s="9"/>
      <c r="D164" s="35"/>
      <c r="F164" s="9"/>
    </row>
    <row r="165" spans="1:6" x14ac:dyDescent="0.25">
      <c r="A165" s="35"/>
      <c r="C165" s="9"/>
      <c r="D165" s="35"/>
      <c r="F165" s="9"/>
    </row>
    <row r="166" spans="1:6" x14ac:dyDescent="0.25">
      <c r="A166" s="35"/>
      <c r="C166" s="9"/>
      <c r="D166" s="35"/>
      <c r="F166" s="9"/>
    </row>
    <row r="167" spans="1:6" x14ac:dyDescent="0.25">
      <c r="A167" s="35"/>
      <c r="C167" s="9"/>
      <c r="D167" s="35"/>
      <c r="F167" s="9"/>
    </row>
    <row r="168" spans="1:6" x14ac:dyDescent="0.25">
      <c r="A168" s="35"/>
      <c r="C168" s="9"/>
      <c r="D168" s="35"/>
      <c r="F168" s="9"/>
    </row>
    <row r="169" spans="1:6" x14ac:dyDescent="0.25">
      <c r="A169" s="35"/>
      <c r="C169" s="9"/>
      <c r="D169" s="35"/>
      <c r="F169" s="9"/>
    </row>
    <row r="170" spans="1:6" x14ac:dyDescent="0.25">
      <c r="A170" s="35"/>
      <c r="C170" s="9"/>
      <c r="D170" s="35"/>
      <c r="F170" s="9"/>
    </row>
    <row r="171" spans="1:6" x14ac:dyDescent="0.25">
      <c r="A171" s="35"/>
      <c r="C171" s="9"/>
      <c r="D171" s="35"/>
      <c r="F171" s="9"/>
    </row>
    <row r="172" spans="1:6" x14ac:dyDescent="0.25">
      <c r="A172" s="35"/>
      <c r="C172" s="9"/>
      <c r="D172" s="35"/>
      <c r="F172" s="9"/>
    </row>
    <row r="173" spans="1:6" x14ac:dyDescent="0.25">
      <c r="A173" s="35"/>
      <c r="C173" s="9"/>
      <c r="D173" s="35"/>
      <c r="F173" s="9"/>
    </row>
    <row r="174" spans="1:6" x14ac:dyDescent="0.25">
      <c r="A174" s="35"/>
      <c r="C174" s="9"/>
      <c r="D174" s="35"/>
      <c r="F174" s="9"/>
    </row>
    <row r="175" spans="1:6" x14ac:dyDescent="0.25">
      <c r="A175" s="35"/>
      <c r="C175" s="9"/>
      <c r="D175" s="35"/>
      <c r="F175" s="9"/>
    </row>
    <row r="176" spans="1:6" x14ac:dyDescent="0.25">
      <c r="A176" s="35"/>
      <c r="C176" s="9"/>
      <c r="D176" s="35"/>
      <c r="F176" s="9"/>
    </row>
    <row r="177" spans="1:6" x14ac:dyDescent="0.25">
      <c r="A177" s="35"/>
      <c r="C177" s="9"/>
      <c r="D177" s="35"/>
      <c r="F177" s="9"/>
    </row>
    <row r="178" spans="1:6" x14ac:dyDescent="0.25">
      <c r="A178" s="35"/>
      <c r="C178" s="9"/>
      <c r="D178" s="35"/>
      <c r="F178" s="9"/>
    </row>
    <row r="179" spans="1:6" x14ac:dyDescent="0.25">
      <c r="A179" s="35"/>
      <c r="C179" s="9"/>
      <c r="D179" s="35"/>
      <c r="F179" s="9"/>
    </row>
    <row r="180" spans="1:6" x14ac:dyDescent="0.25">
      <c r="A180" s="35"/>
      <c r="C180" s="9"/>
      <c r="D180" s="35"/>
      <c r="F180" s="9"/>
    </row>
    <row r="181" spans="1:6" x14ac:dyDescent="0.25">
      <c r="A181" s="35"/>
      <c r="C181" s="9"/>
      <c r="D181" s="35"/>
      <c r="F181" s="9"/>
    </row>
    <row r="182" spans="1:6" x14ac:dyDescent="0.25">
      <c r="A182" s="35"/>
      <c r="C182" s="9"/>
      <c r="D182" s="35"/>
      <c r="F182" s="9"/>
    </row>
    <row r="183" spans="1:6" x14ac:dyDescent="0.25">
      <c r="A183" s="35"/>
      <c r="C183" s="9"/>
      <c r="D183" s="35"/>
      <c r="F183" s="9"/>
    </row>
    <row r="184" spans="1:6" x14ac:dyDescent="0.25">
      <c r="A184" s="35"/>
      <c r="C184" s="9"/>
      <c r="D184" s="35"/>
      <c r="F184" s="9"/>
    </row>
    <row r="185" spans="1:6" x14ac:dyDescent="0.25">
      <c r="A185" s="35"/>
      <c r="C185" s="9"/>
      <c r="D185" s="35"/>
      <c r="F185" s="9"/>
    </row>
    <row r="186" spans="1:6" x14ac:dyDescent="0.25">
      <c r="A186" s="35"/>
      <c r="C186" s="9"/>
      <c r="D186" s="35"/>
      <c r="F186" s="9"/>
    </row>
    <row r="187" spans="1:6" x14ac:dyDescent="0.25">
      <c r="A187" s="35"/>
      <c r="C187" s="9"/>
      <c r="D187" s="35"/>
      <c r="F187" s="9"/>
    </row>
    <row r="188" spans="1:6" x14ac:dyDescent="0.25">
      <c r="A188" s="35"/>
      <c r="C188" s="9"/>
      <c r="D188" s="35"/>
      <c r="F188" s="9"/>
    </row>
    <row r="189" spans="1:6" x14ac:dyDescent="0.25">
      <c r="A189" s="35"/>
      <c r="C189" s="9"/>
      <c r="D189" s="35"/>
      <c r="F189" s="9"/>
    </row>
    <row r="190" spans="1:6" x14ac:dyDescent="0.25">
      <c r="A190" s="35"/>
      <c r="C190" s="9"/>
      <c r="D190" s="35"/>
      <c r="F190" s="9"/>
    </row>
    <row r="191" spans="1:6" x14ac:dyDescent="0.25">
      <c r="A191" s="35"/>
      <c r="C191" s="9"/>
      <c r="D191" s="35"/>
      <c r="F191" s="9"/>
    </row>
    <row r="192" spans="1:6" x14ac:dyDescent="0.25">
      <c r="A192" s="35"/>
      <c r="C192" s="9"/>
      <c r="D192" s="35"/>
      <c r="F192" s="9"/>
    </row>
    <row r="193" spans="1:6" x14ac:dyDescent="0.25">
      <c r="A193" s="35"/>
      <c r="C193" s="9"/>
      <c r="D193" s="35"/>
      <c r="F193" s="9"/>
    </row>
    <row r="194" spans="1:6" x14ac:dyDescent="0.25">
      <c r="A194" s="35"/>
      <c r="C194" s="9"/>
      <c r="D194" s="35"/>
      <c r="F194" s="9"/>
    </row>
    <row r="195" spans="1:6" x14ac:dyDescent="0.25">
      <c r="A195" s="35"/>
      <c r="C195" s="9"/>
      <c r="D195" s="35"/>
      <c r="F195" s="9"/>
    </row>
    <row r="196" spans="1:6" x14ac:dyDescent="0.25">
      <c r="A196" s="35"/>
      <c r="C196" s="9"/>
      <c r="D196" s="35"/>
      <c r="F196" s="9"/>
    </row>
    <row r="197" spans="1:6" x14ac:dyDescent="0.25">
      <c r="A197" s="35"/>
      <c r="C197" s="9"/>
      <c r="D197" s="35"/>
      <c r="F197" s="9"/>
    </row>
    <row r="198" spans="1:6" x14ac:dyDescent="0.25">
      <c r="A198" s="35"/>
      <c r="C198" s="9"/>
      <c r="D198" s="35"/>
      <c r="F198" s="9"/>
    </row>
    <row r="199" spans="1:6" x14ac:dyDescent="0.25">
      <c r="A199" s="35"/>
      <c r="C199" s="9"/>
      <c r="D199" s="35"/>
      <c r="F199" s="9"/>
    </row>
    <row r="200" spans="1:6" x14ac:dyDescent="0.25">
      <c r="A200" s="35"/>
      <c r="C200" s="9"/>
      <c r="D200" s="35"/>
      <c r="F200" s="9"/>
    </row>
    <row r="201" spans="1:6" x14ac:dyDescent="0.25">
      <c r="A201" s="35"/>
      <c r="C201" s="9"/>
      <c r="D201" s="35"/>
      <c r="F201" s="9"/>
    </row>
    <row r="202" spans="1:6" x14ac:dyDescent="0.25">
      <c r="A202" s="35"/>
      <c r="C202" s="9"/>
      <c r="D202" s="35"/>
      <c r="F202" s="9"/>
    </row>
    <row r="203" spans="1:6" x14ac:dyDescent="0.25">
      <c r="A203" s="35"/>
      <c r="C203" s="9"/>
      <c r="D203" s="35"/>
      <c r="F203" s="9"/>
    </row>
    <row r="204" spans="1:6" x14ac:dyDescent="0.25">
      <c r="A204" s="35"/>
      <c r="C204" s="9"/>
      <c r="D204" s="35"/>
      <c r="F204" s="9"/>
    </row>
    <row r="205" spans="1:6" x14ac:dyDescent="0.25">
      <c r="A205" s="35"/>
      <c r="C205" s="9"/>
      <c r="D205" s="35"/>
      <c r="F205" s="9"/>
    </row>
    <row r="206" spans="1:6" x14ac:dyDescent="0.25">
      <c r="A206" s="35"/>
      <c r="C206" s="9"/>
      <c r="D206" s="35"/>
      <c r="F206" s="9"/>
    </row>
    <row r="207" spans="1:6" x14ac:dyDescent="0.25">
      <c r="A207" s="35"/>
      <c r="C207" s="9"/>
      <c r="D207" s="35"/>
      <c r="F207" s="9"/>
    </row>
    <row r="208" spans="1:6" x14ac:dyDescent="0.25">
      <c r="A208" s="35"/>
      <c r="C208" s="9"/>
      <c r="D208" s="35"/>
      <c r="F208" s="9"/>
    </row>
    <row r="209" spans="1:6" x14ac:dyDescent="0.25">
      <c r="A209" s="35"/>
      <c r="C209" s="9"/>
      <c r="D209" s="35"/>
      <c r="F209" s="9"/>
    </row>
    <row r="210" spans="1:6" x14ac:dyDescent="0.25">
      <c r="A210" s="35"/>
      <c r="C210" s="9"/>
      <c r="D210" s="35"/>
      <c r="F210" s="9"/>
    </row>
    <row r="211" spans="1:6" x14ac:dyDescent="0.25">
      <c r="A211" s="35"/>
      <c r="C211" s="9"/>
      <c r="D211" s="35"/>
      <c r="F211" s="9"/>
    </row>
    <row r="212" spans="1:6" x14ac:dyDescent="0.25">
      <c r="A212" s="35"/>
      <c r="C212" s="9"/>
      <c r="D212" s="35"/>
      <c r="F212" s="9"/>
    </row>
    <row r="213" spans="1:6" x14ac:dyDescent="0.25">
      <c r="A213" s="35"/>
      <c r="C213" s="9"/>
      <c r="D213" s="35"/>
      <c r="F213" s="9"/>
    </row>
    <row r="214" spans="1:6" x14ac:dyDescent="0.25">
      <c r="A214" s="35"/>
      <c r="C214" s="9"/>
      <c r="D214" s="35"/>
      <c r="F214" s="9"/>
    </row>
    <row r="215" spans="1:6" x14ac:dyDescent="0.25">
      <c r="A215" s="35"/>
      <c r="C215" s="9"/>
      <c r="D215" s="35"/>
      <c r="F215" s="9"/>
    </row>
    <row r="216" spans="1:6" x14ac:dyDescent="0.25">
      <c r="A216" s="35"/>
      <c r="C216" s="9"/>
      <c r="D216" s="35"/>
      <c r="F216" s="9"/>
    </row>
    <row r="217" spans="1:6" x14ac:dyDescent="0.25">
      <c r="A217" s="35"/>
      <c r="C217" s="9"/>
      <c r="D217" s="35"/>
      <c r="F217" s="9"/>
    </row>
    <row r="218" spans="1:6" x14ac:dyDescent="0.25">
      <c r="A218" s="35"/>
      <c r="C218" s="9"/>
      <c r="D218" s="35"/>
      <c r="F218" s="9"/>
    </row>
    <row r="219" spans="1:6" x14ac:dyDescent="0.25">
      <c r="A219" s="35"/>
      <c r="C219" s="9"/>
      <c r="D219" s="35"/>
      <c r="F219" s="9"/>
    </row>
    <row r="220" spans="1:6" x14ac:dyDescent="0.25">
      <c r="A220" s="35"/>
      <c r="C220" s="9"/>
      <c r="D220" s="35"/>
      <c r="F220" s="9"/>
    </row>
    <row r="221" spans="1:6" x14ac:dyDescent="0.25">
      <c r="A221" s="35"/>
      <c r="C221" s="9"/>
      <c r="D221" s="35"/>
      <c r="F221" s="9"/>
    </row>
    <row r="222" spans="1:6" x14ac:dyDescent="0.25">
      <c r="A222" s="35"/>
      <c r="C222" s="9"/>
      <c r="D222" s="35"/>
      <c r="F222" s="9"/>
    </row>
    <row r="223" spans="1:6" x14ac:dyDescent="0.25">
      <c r="A223" s="35"/>
      <c r="C223" s="9"/>
      <c r="D223" s="35"/>
      <c r="F223" s="9"/>
    </row>
    <row r="224" spans="1:6" x14ac:dyDescent="0.25">
      <c r="A224" s="35"/>
      <c r="C224" s="9"/>
      <c r="D224" s="35"/>
      <c r="F224" s="9"/>
    </row>
    <row r="225" spans="1:6" x14ac:dyDescent="0.25">
      <c r="A225" s="35"/>
      <c r="C225" s="9"/>
      <c r="D225" s="35"/>
      <c r="F225" s="9"/>
    </row>
    <row r="226" spans="1:6" x14ac:dyDescent="0.25">
      <c r="A226" s="35"/>
      <c r="C226" s="9"/>
      <c r="D226" s="35"/>
      <c r="F226" s="9"/>
    </row>
    <row r="227" spans="1:6" x14ac:dyDescent="0.25">
      <c r="A227" s="35"/>
      <c r="C227" s="9"/>
      <c r="D227" s="35"/>
      <c r="F227" s="9"/>
    </row>
    <row r="228" spans="1:6" x14ac:dyDescent="0.25">
      <c r="A228" s="35"/>
      <c r="C228" s="9"/>
      <c r="D228" s="35"/>
      <c r="F228" s="9"/>
    </row>
    <row r="229" spans="1:6" x14ac:dyDescent="0.25">
      <c r="A229" s="35"/>
      <c r="C229" s="9"/>
      <c r="D229" s="35"/>
      <c r="F229" s="9"/>
    </row>
    <row r="230" spans="1:6" x14ac:dyDescent="0.25">
      <c r="A230" s="35"/>
      <c r="C230" s="9"/>
      <c r="D230" s="35"/>
      <c r="F230" s="9"/>
    </row>
    <row r="231" spans="1:6" x14ac:dyDescent="0.25">
      <c r="A231" s="35"/>
      <c r="C231" s="9"/>
      <c r="D231" s="35"/>
      <c r="F231" s="9"/>
    </row>
    <row r="232" spans="1:6" x14ac:dyDescent="0.25">
      <c r="A232" s="35"/>
      <c r="C232" s="9"/>
      <c r="D232" s="35"/>
      <c r="F232" s="9"/>
    </row>
    <row r="233" spans="1:6" x14ac:dyDescent="0.25">
      <c r="A233" s="35"/>
      <c r="C233" s="9"/>
      <c r="D233" s="35"/>
      <c r="F233" s="9"/>
    </row>
    <row r="234" spans="1:6" x14ac:dyDescent="0.25">
      <c r="A234" s="35"/>
      <c r="C234" s="9"/>
      <c r="D234" s="35"/>
      <c r="F234" s="9"/>
    </row>
    <row r="235" spans="1:6" x14ac:dyDescent="0.25">
      <c r="A235" s="35"/>
      <c r="C235" s="9"/>
      <c r="D235" s="35"/>
      <c r="F235" s="9"/>
    </row>
    <row r="236" spans="1:6" x14ac:dyDescent="0.25">
      <c r="A236" s="35"/>
      <c r="C236" s="9"/>
      <c r="D236" s="35"/>
      <c r="F236" s="9"/>
    </row>
    <row r="237" spans="1:6" x14ac:dyDescent="0.25">
      <c r="A237" s="35"/>
      <c r="C237" s="9"/>
      <c r="D237" s="35"/>
      <c r="F237" s="9"/>
    </row>
    <row r="238" spans="1:6" x14ac:dyDescent="0.25">
      <c r="A238" s="35"/>
      <c r="C238" s="9"/>
      <c r="D238" s="35"/>
      <c r="F238" s="9"/>
    </row>
    <row r="239" spans="1:6" x14ac:dyDescent="0.25">
      <c r="A239" s="35"/>
      <c r="C239" s="9"/>
      <c r="D239" s="35"/>
      <c r="F239" s="9"/>
    </row>
    <row r="240" spans="1:6" x14ac:dyDescent="0.25">
      <c r="A240" s="35"/>
      <c r="C240" s="9"/>
      <c r="D240" s="35"/>
      <c r="F240" s="9"/>
    </row>
    <row r="241" spans="1:6" x14ac:dyDescent="0.25">
      <c r="A241" s="35"/>
      <c r="C241" s="9"/>
      <c r="D241" s="35"/>
      <c r="F241" s="9"/>
    </row>
    <row r="242" spans="1:6" x14ac:dyDescent="0.25">
      <c r="A242" s="35"/>
      <c r="C242" s="9"/>
      <c r="D242" s="35"/>
      <c r="F242" s="9"/>
    </row>
    <row r="243" spans="1:6" x14ac:dyDescent="0.25">
      <c r="A243" s="35"/>
      <c r="C243" s="9"/>
      <c r="D243" s="35"/>
      <c r="F243" s="9"/>
    </row>
    <row r="244" spans="1:6" x14ac:dyDescent="0.25">
      <c r="A244" s="35"/>
      <c r="C244" s="9"/>
      <c r="D244" s="35"/>
      <c r="F244" s="9"/>
    </row>
    <row r="245" spans="1:6" x14ac:dyDescent="0.25">
      <c r="A245" s="35"/>
      <c r="C245" s="9"/>
      <c r="D245" s="35"/>
      <c r="F245" s="9"/>
    </row>
    <row r="246" spans="1:6" x14ac:dyDescent="0.25">
      <c r="A246" s="35"/>
      <c r="C246" s="9"/>
      <c r="D246" s="35"/>
      <c r="F246" s="9"/>
    </row>
    <row r="247" spans="1:6" x14ac:dyDescent="0.25">
      <c r="A247" s="35"/>
      <c r="C247" s="9"/>
      <c r="D247" s="35"/>
      <c r="F247" s="9"/>
    </row>
    <row r="248" spans="1:6" x14ac:dyDescent="0.25">
      <c r="A248" s="35"/>
      <c r="C248" s="9"/>
      <c r="D248" s="35"/>
      <c r="F248" s="9"/>
    </row>
    <row r="249" spans="1:6" x14ac:dyDescent="0.25">
      <c r="A249" s="35"/>
      <c r="C249" s="9"/>
      <c r="D249" s="35"/>
      <c r="F249" s="9"/>
    </row>
    <row r="250" spans="1:6" x14ac:dyDescent="0.25">
      <c r="A250" s="35"/>
      <c r="C250" s="9"/>
      <c r="D250" s="35"/>
      <c r="F250" s="9"/>
    </row>
    <row r="251" spans="1:6" x14ac:dyDescent="0.25">
      <c r="A251" s="35"/>
      <c r="C251" s="9"/>
      <c r="D251" s="35"/>
      <c r="F251" s="9"/>
    </row>
    <row r="252" spans="1:6" x14ac:dyDescent="0.25">
      <c r="A252" s="35"/>
      <c r="C252" s="9"/>
      <c r="D252" s="35"/>
      <c r="F252" s="9"/>
    </row>
    <row r="253" spans="1:6" x14ac:dyDescent="0.25">
      <c r="A253" s="35"/>
      <c r="C253" s="9"/>
      <c r="D253" s="35"/>
      <c r="F253" s="9"/>
    </row>
    <row r="254" spans="1:6" x14ac:dyDescent="0.25">
      <c r="A254" s="35"/>
      <c r="C254" s="9"/>
      <c r="D254" s="35"/>
      <c r="F254" s="9"/>
    </row>
    <row r="255" spans="1:6" x14ac:dyDescent="0.25">
      <c r="A255" s="35"/>
      <c r="C255" s="9"/>
      <c r="D255" s="35"/>
      <c r="F255" s="9"/>
    </row>
    <row r="256" spans="1:6" x14ac:dyDescent="0.25">
      <c r="A256" s="35"/>
      <c r="C256" s="9"/>
      <c r="D256" s="35"/>
      <c r="F256" s="9"/>
    </row>
    <row r="257" spans="1:6" x14ac:dyDescent="0.25">
      <c r="A257" s="35"/>
      <c r="C257" s="9"/>
      <c r="D257" s="35"/>
      <c r="F257" s="9"/>
    </row>
    <row r="258" spans="1:6" x14ac:dyDescent="0.25">
      <c r="A258" s="35"/>
      <c r="C258" s="9"/>
      <c r="D258" s="35"/>
      <c r="F258" s="9"/>
    </row>
    <row r="259" spans="1:6" x14ac:dyDescent="0.25">
      <c r="A259" s="35"/>
      <c r="C259" s="9"/>
      <c r="D259" s="35"/>
      <c r="F259" s="9"/>
    </row>
    <row r="260" spans="1:6" x14ac:dyDescent="0.25">
      <c r="A260" s="35"/>
      <c r="C260" s="9"/>
      <c r="D260" s="35"/>
      <c r="F260" s="9"/>
    </row>
    <row r="261" spans="1:6" x14ac:dyDescent="0.25">
      <c r="A261" s="35"/>
      <c r="C261" s="9"/>
      <c r="D261" s="35"/>
      <c r="F261" s="9"/>
    </row>
    <row r="262" spans="1:6" x14ac:dyDescent="0.25">
      <c r="A262" s="35"/>
      <c r="C262" s="9"/>
      <c r="D262" s="35"/>
      <c r="F262" s="9"/>
    </row>
    <row r="263" spans="1:6" x14ac:dyDescent="0.25">
      <c r="A263" s="35"/>
      <c r="C263" s="9"/>
      <c r="D263" s="35"/>
      <c r="F263" s="9"/>
    </row>
    <row r="264" spans="1:6" x14ac:dyDescent="0.25">
      <c r="A264" s="35"/>
      <c r="C264" s="9"/>
      <c r="D264" s="35"/>
      <c r="F264" s="9"/>
    </row>
    <row r="265" spans="1:6" x14ac:dyDescent="0.25">
      <c r="A265" s="35"/>
      <c r="C265" s="9"/>
      <c r="D265" s="35"/>
      <c r="F265" s="9"/>
    </row>
    <row r="266" spans="1:6" x14ac:dyDescent="0.25">
      <c r="A266" s="35"/>
      <c r="C266" s="9"/>
      <c r="D266" s="35"/>
      <c r="F266" s="9"/>
    </row>
    <row r="267" spans="1:6" x14ac:dyDescent="0.25">
      <c r="A267" s="35"/>
      <c r="C267" s="9"/>
      <c r="D267" s="35"/>
      <c r="F267" s="9"/>
    </row>
    <row r="268" spans="1:6" x14ac:dyDescent="0.25">
      <c r="A268" s="35"/>
      <c r="C268" s="9"/>
      <c r="D268" s="35"/>
      <c r="F268" s="9"/>
    </row>
    <row r="269" spans="1:6" x14ac:dyDescent="0.25">
      <c r="A269" s="35"/>
      <c r="C269" s="9"/>
      <c r="D269" s="35"/>
      <c r="F269" s="9"/>
    </row>
    <row r="270" spans="1:6" x14ac:dyDescent="0.25">
      <c r="A270" s="35"/>
      <c r="C270" s="9"/>
      <c r="D270" s="35"/>
      <c r="F270" s="9"/>
    </row>
    <row r="271" spans="1:6" x14ac:dyDescent="0.25">
      <c r="A271" s="35"/>
      <c r="C271" s="9"/>
      <c r="D271" s="35"/>
      <c r="F271" s="9"/>
    </row>
    <row r="272" spans="1:6" x14ac:dyDescent="0.25">
      <c r="A272" s="35"/>
      <c r="C272" s="9"/>
      <c r="D272" s="35"/>
      <c r="F272" s="9"/>
    </row>
    <row r="273" spans="1:6" x14ac:dyDescent="0.25">
      <c r="A273" s="35"/>
      <c r="C273" s="9"/>
      <c r="D273" s="35"/>
      <c r="F273" s="9"/>
    </row>
    <row r="274" spans="1:6" x14ac:dyDescent="0.25">
      <c r="A274" s="35"/>
      <c r="C274" s="9"/>
      <c r="D274" s="35"/>
      <c r="F274" s="9"/>
    </row>
    <row r="275" spans="1:6" x14ac:dyDescent="0.25">
      <c r="A275" s="35"/>
      <c r="C275" s="9"/>
      <c r="D275" s="35"/>
      <c r="F275" s="9"/>
    </row>
    <row r="276" spans="1:6" x14ac:dyDescent="0.25">
      <c r="A276" s="35"/>
      <c r="C276" s="9"/>
      <c r="D276" s="35"/>
      <c r="F276" s="9"/>
    </row>
    <row r="277" spans="1:6" x14ac:dyDescent="0.25">
      <c r="A277" s="35"/>
      <c r="C277" s="9"/>
      <c r="D277" s="35"/>
      <c r="F277" s="9"/>
    </row>
    <row r="278" spans="1:6" x14ac:dyDescent="0.25">
      <c r="A278" s="35"/>
      <c r="C278" s="9"/>
      <c r="D278" s="35"/>
      <c r="F278" s="9"/>
    </row>
    <row r="279" spans="1:6" x14ac:dyDescent="0.25">
      <c r="A279" s="35"/>
      <c r="C279" s="9"/>
      <c r="D279" s="35"/>
      <c r="F279" s="9"/>
    </row>
    <row r="280" spans="1:6" x14ac:dyDescent="0.25">
      <c r="A280" s="35"/>
      <c r="C280" s="9"/>
      <c r="D280" s="35"/>
      <c r="F280" s="9"/>
    </row>
    <row r="281" spans="1:6" x14ac:dyDescent="0.25">
      <c r="A281" s="35"/>
      <c r="C281" s="9"/>
      <c r="D281" s="35"/>
      <c r="F281" s="9"/>
    </row>
    <row r="282" spans="1:6" x14ac:dyDescent="0.25">
      <c r="A282" s="35"/>
      <c r="C282" s="9"/>
      <c r="D282" s="35"/>
      <c r="F282" s="9"/>
    </row>
    <row r="283" spans="1:6" x14ac:dyDescent="0.25">
      <c r="A283" s="35"/>
      <c r="C283" s="9"/>
      <c r="D283" s="35"/>
      <c r="F283" s="9"/>
    </row>
    <row r="284" spans="1:6" x14ac:dyDescent="0.25">
      <c r="A284" s="35"/>
      <c r="C284" s="9"/>
      <c r="D284" s="35"/>
      <c r="F284" s="9"/>
    </row>
    <row r="285" spans="1:6" x14ac:dyDescent="0.25">
      <c r="A285" s="35"/>
      <c r="C285" s="9"/>
      <c r="D285" s="35"/>
      <c r="F285" s="9"/>
    </row>
    <row r="286" spans="1:6" x14ac:dyDescent="0.25">
      <c r="A286" s="35"/>
      <c r="C286" s="9"/>
      <c r="D286" s="35"/>
      <c r="F286" s="9"/>
    </row>
    <row r="287" spans="1:6" x14ac:dyDescent="0.25">
      <c r="A287" s="35"/>
      <c r="C287" s="9"/>
      <c r="D287" s="35"/>
      <c r="F287" s="9"/>
    </row>
    <row r="288" spans="1:6" x14ac:dyDescent="0.25">
      <c r="A288" s="35"/>
      <c r="C288" s="9"/>
      <c r="D288" s="35"/>
      <c r="F288" s="9"/>
    </row>
    <row r="289" spans="1:6" x14ac:dyDescent="0.25">
      <c r="A289" s="35"/>
      <c r="C289" s="9"/>
      <c r="D289" s="35"/>
      <c r="F289" s="9"/>
    </row>
    <row r="290" spans="1:6" x14ac:dyDescent="0.25">
      <c r="A290" s="35"/>
      <c r="C290" s="9"/>
      <c r="D290" s="35"/>
      <c r="F290" s="9"/>
    </row>
    <row r="291" spans="1:6" x14ac:dyDescent="0.25">
      <c r="A291" s="35"/>
      <c r="C291" s="9"/>
      <c r="D291" s="35"/>
      <c r="F291" s="9"/>
    </row>
    <row r="292" spans="1:6" x14ac:dyDescent="0.25">
      <c r="A292" s="35"/>
      <c r="C292" s="9"/>
      <c r="D292" s="35"/>
      <c r="F292" s="9"/>
    </row>
    <row r="293" spans="1:6" x14ac:dyDescent="0.25">
      <c r="A293" s="35"/>
      <c r="C293" s="9"/>
      <c r="D293" s="35"/>
      <c r="F293" s="9"/>
    </row>
    <row r="294" spans="1:6" x14ac:dyDescent="0.25">
      <c r="A294" s="35"/>
      <c r="C294" s="9"/>
      <c r="D294" s="35"/>
      <c r="F294" s="9"/>
    </row>
    <row r="295" spans="1:6" x14ac:dyDescent="0.25">
      <c r="A295" s="35"/>
      <c r="C295" s="9"/>
      <c r="D295" s="35"/>
      <c r="F295" s="9"/>
    </row>
    <row r="296" spans="1:6" x14ac:dyDescent="0.25">
      <c r="A296" s="35"/>
      <c r="C296" s="9"/>
      <c r="D296" s="35"/>
      <c r="F296" s="9"/>
    </row>
    <row r="297" spans="1:6" x14ac:dyDescent="0.25">
      <c r="A297" s="35"/>
      <c r="C297" s="9"/>
      <c r="D297" s="35"/>
      <c r="F297" s="9"/>
    </row>
    <row r="298" spans="1:6" x14ac:dyDescent="0.25">
      <c r="A298" s="35"/>
      <c r="C298" s="9"/>
      <c r="D298" s="35"/>
      <c r="F298" s="9"/>
    </row>
    <row r="299" spans="1:6" x14ac:dyDescent="0.25">
      <c r="A299" s="35"/>
      <c r="C299" s="9"/>
      <c r="D299" s="35"/>
      <c r="F299" s="9"/>
    </row>
    <row r="300" spans="1:6" x14ac:dyDescent="0.25">
      <c r="A300" s="35"/>
      <c r="C300" s="9"/>
      <c r="D300" s="35"/>
      <c r="F300" s="9"/>
    </row>
    <row r="301" spans="1:6" x14ac:dyDescent="0.25">
      <c r="A301" s="35"/>
      <c r="C301" s="9"/>
      <c r="D301" s="35"/>
      <c r="F301" s="9"/>
    </row>
    <row r="302" spans="1:6" x14ac:dyDescent="0.25">
      <c r="A302" s="35"/>
      <c r="C302" s="9"/>
      <c r="D302" s="35"/>
      <c r="F302" s="9"/>
    </row>
    <row r="303" spans="1:6" x14ac:dyDescent="0.25">
      <c r="A303" s="35"/>
      <c r="C303" s="9"/>
      <c r="D303" s="35"/>
      <c r="F303" s="9"/>
    </row>
    <row r="304" spans="1:6" x14ac:dyDescent="0.25">
      <c r="A304" s="35"/>
      <c r="C304" s="9"/>
      <c r="D304" s="35"/>
      <c r="F304" s="9"/>
    </row>
    <row r="305" spans="1:6" x14ac:dyDescent="0.25">
      <c r="A305" s="35"/>
      <c r="C305" s="9"/>
      <c r="D305" s="35"/>
      <c r="F305" s="9"/>
    </row>
    <row r="306" spans="1:6" x14ac:dyDescent="0.25">
      <c r="A306" s="35"/>
      <c r="C306" s="9"/>
      <c r="D306" s="35"/>
      <c r="F306" s="9"/>
    </row>
    <row r="307" spans="1:6" x14ac:dyDescent="0.25">
      <c r="A307" s="35"/>
      <c r="C307" s="9"/>
      <c r="D307" s="35"/>
      <c r="F307" s="9"/>
    </row>
    <row r="308" spans="1:6" x14ac:dyDescent="0.25">
      <c r="A308" s="35"/>
      <c r="C308" s="9"/>
      <c r="D308" s="35"/>
      <c r="F308" s="9"/>
    </row>
    <row r="309" spans="1:6" x14ac:dyDescent="0.25">
      <c r="A309" s="35"/>
      <c r="C309" s="9"/>
      <c r="D309" s="35"/>
      <c r="F309" s="9"/>
    </row>
    <row r="310" spans="1:6" x14ac:dyDescent="0.25">
      <c r="A310" s="35"/>
      <c r="C310" s="9"/>
      <c r="D310" s="35"/>
      <c r="F310" s="9"/>
    </row>
    <row r="311" spans="1:6" x14ac:dyDescent="0.25">
      <c r="A311" s="35"/>
      <c r="C311" s="9"/>
      <c r="D311" s="35"/>
      <c r="F311" s="9"/>
    </row>
    <row r="312" spans="1:6" x14ac:dyDescent="0.25">
      <c r="A312" s="35"/>
      <c r="C312" s="9"/>
      <c r="D312" s="35"/>
      <c r="F312" s="9"/>
    </row>
    <row r="313" spans="1:6" x14ac:dyDescent="0.25">
      <c r="A313" s="35"/>
      <c r="C313" s="9"/>
      <c r="D313" s="35"/>
      <c r="F313" s="9"/>
    </row>
    <row r="314" spans="1:6" x14ac:dyDescent="0.25">
      <c r="A314" s="35"/>
      <c r="C314" s="9"/>
      <c r="D314" s="35"/>
      <c r="F314" s="9"/>
    </row>
    <row r="315" spans="1:6" x14ac:dyDescent="0.25">
      <c r="A315" s="35"/>
      <c r="C315" s="9"/>
      <c r="D315" s="35"/>
      <c r="F315" s="9"/>
    </row>
    <row r="316" spans="1:6" x14ac:dyDescent="0.25">
      <c r="A316" s="35"/>
      <c r="C316" s="9"/>
      <c r="D316" s="35"/>
      <c r="F316" s="9"/>
    </row>
    <row r="317" spans="1:6" x14ac:dyDescent="0.25">
      <c r="A317" s="35"/>
      <c r="C317" s="9"/>
      <c r="D317" s="35"/>
      <c r="F317" s="9"/>
    </row>
    <row r="318" spans="1:6" x14ac:dyDescent="0.25">
      <c r="A318" s="35"/>
      <c r="C318" s="9"/>
      <c r="D318" s="35"/>
      <c r="F318" s="9"/>
    </row>
    <row r="319" spans="1:6" x14ac:dyDescent="0.25">
      <c r="A319" s="35"/>
      <c r="C319" s="9"/>
      <c r="D319" s="35"/>
      <c r="E319" s="42" t="s">
        <v>25</v>
      </c>
      <c r="F319" s="9">
        <f>C323-SUM(F2:F318)</f>
        <v>0</v>
      </c>
    </row>
    <row r="320" spans="1:6" x14ac:dyDescent="0.25">
      <c r="A320" s="35"/>
      <c r="C320" s="9"/>
      <c r="D320" s="35"/>
      <c r="F320" s="9"/>
    </row>
    <row r="321" spans="1:7" x14ac:dyDescent="0.25">
      <c r="A321" s="35"/>
      <c r="C321" s="9"/>
      <c r="D321" s="35"/>
      <c r="F321" s="9"/>
    </row>
    <row r="322" spans="1:7" x14ac:dyDescent="0.25">
      <c r="A322" s="35"/>
      <c r="C322" s="9"/>
      <c r="D322" s="35"/>
      <c r="F322" s="9"/>
    </row>
    <row r="323" spans="1:7" x14ac:dyDescent="0.25">
      <c r="A323" s="35"/>
      <c r="C323" s="69">
        <f>SUM(C2:C266)</f>
        <v>0</v>
      </c>
      <c r="D323" s="35"/>
      <c r="F323" s="69">
        <f>C323</f>
        <v>0</v>
      </c>
      <c r="G323" s="5" t="s">
        <v>47</v>
      </c>
    </row>
  </sheetData>
  <mergeCells count="1">
    <mergeCell ref="G2:J1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8"/>
  <sheetViews>
    <sheetView zoomScaleNormal="100" workbookViewId="0">
      <selection activeCell="G39" sqref="G39"/>
    </sheetView>
  </sheetViews>
  <sheetFormatPr defaultRowHeight="15" x14ac:dyDescent="0.25"/>
  <cols>
    <col min="1" max="1" width="12.28515625" style="2" customWidth="1"/>
    <col min="2" max="2" width="10.28515625" style="2" customWidth="1"/>
    <col min="3" max="3" width="9.140625" style="2"/>
    <col min="4" max="4" width="10.5703125" style="2" customWidth="1"/>
    <col min="5" max="5" width="13.5703125" style="2" customWidth="1"/>
    <col min="6" max="6" width="10.42578125" style="2" customWidth="1"/>
    <col min="7" max="7" width="10.7109375" style="2" customWidth="1"/>
    <col min="8" max="8" width="10.28515625" style="2" customWidth="1"/>
    <col min="9" max="9" width="9.140625" style="2"/>
    <col min="10" max="10" width="11" style="2" customWidth="1"/>
    <col min="11" max="11" width="10.85546875" style="2" customWidth="1"/>
    <col min="12" max="14" width="9.140625" style="2"/>
    <col min="15" max="15" width="16.140625" style="2" customWidth="1"/>
    <col min="16" max="16384" width="9.140625" style="2"/>
  </cols>
  <sheetData>
    <row r="1" spans="1:17" ht="15.75" thickBot="1" x14ac:dyDescent="0.3">
      <c r="A1" s="10" t="s">
        <v>5</v>
      </c>
      <c r="B1" s="11" t="s">
        <v>11</v>
      </c>
      <c r="C1" s="11" t="s">
        <v>7</v>
      </c>
      <c r="D1" s="12" t="s">
        <v>12</v>
      </c>
      <c r="E1" s="13"/>
      <c r="F1" s="28" t="s">
        <v>8</v>
      </c>
      <c r="G1" s="29" t="s">
        <v>40</v>
      </c>
      <c r="H1" s="30" t="s">
        <v>13</v>
      </c>
      <c r="I1" s="178" t="s">
        <v>16</v>
      </c>
      <c r="J1" s="179"/>
      <c r="K1" s="180"/>
      <c r="L1" s="44"/>
      <c r="N1" s="86">
        <f>K11+K33</f>
        <v>0</v>
      </c>
    </row>
    <row r="2" spans="1:17" x14ac:dyDescent="0.25">
      <c r="A2" s="60"/>
      <c r="B2" s="58"/>
      <c r="C2" s="58"/>
      <c r="D2" s="59"/>
      <c r="E2" s="21" t="s">
        <v>5</v>
      </c>
      <c r="F2" s="22">
        <v>0</v>
      </c>
      <c r="G2" s="25" t="e">
        <f>AVERAGE(A2:A100)</f>
        <v>#DIV/0!</v>
      </c>
      <c r="H2" s="15" t="e">
        <f>F2/SUM($F$2:$F$4)*100</f>
        <v>#DIV/0!</v>
      </c>
      <c r="I2" s="4" t="s">
        <v>70</v>
      </c>
      <c r="J2" s="4"/>
      <c r="K2" s="4"/>
      <c r="L2" s="89" t="e">
        <f t="shared" ref="L2:L10" si="0">K2/$K$11*100</f>
        <v>#DIV/0!</v>
      </c>
      <c r="M2" s="90" t="e">
        <f t="shared" ref="M2:M10" si="1">K2/$N$1*100</f>
        <v>#DIV/0!</v>
      </c>
      <c r="N2" s="164" t="s">
        <v>48</v>
      </c>
      <c r="O2" s="165"/>
      <c r="P2" s="165"/>
      <c r="Q2" s="166"/>
    </row>
    <row r="3" spans="1:17" x14ac:dyDescent="0.25">
      <c r="A3" s="60"/>
      <c r="B3" s="58"/>
      <c r="C3" s="58"/>
      <c r="D3" s="59"/>
      <c r="E3" s="21" t="s">
        <v>6</v>
      </c>
      <c r="F3" s="23">
        <v>0</v>
      </c>
      <c r="G3" s="26" t="e">
        <f>AVERAGE(B2:B100)</f>
        <v>#DIV/0!</v>
      </c>
      <c r="H3" s="15" t="e">
        <f>F3/SUM($F$2:$F$4)*100</f>
        <v>#DIV/0!</v>
      </c>
      <c r="I3" s="4" t="s">
        <v>70</v>
      </c>
      <c r="J3" s="4"/>
      <c r="K3" s="4"/>
      <c r="L3" s="91" t="e">
        <f t="shared" si="0"/>
        <v>#DIV/0!</v>
      </c>
      <c r="M3" s="92" t="e">
        <f t="shared" si="1"/>
        <v>#DIV/0!</v>
      </c>
      <c r="N3" s="167"/>
      <c r="O3" s="168"/>
      <c r="P3" s="168"/>
      <c r="Q3" s="169"/>
    </row>
    <row r="4" spans="1:17" x14ac:dyDescent="0.25">
      <c r="A4" s="60"/>
      <c r="B4" s="58"/>
      <c r="C4" s="58"/>
      <c r="D4" s="59"/>
      <c r="E4" s="21" t="s">
        <v>7</v>
      </c>
      <c r="F4" s="23">
        <v>0</v>
      </c>
      <c r="G4" s="26" t="e">
        <f>AVERAGE(C2:C96)</f>
        <v>#DIV/0!</v>
      </c>
      <c r="H4" s="15" t="e">
        <f>F4/SUM($F$2:$F$4)*100</f>
        <v>#DIV/0!</v>
      </c>
      <c r="I4" s="4" t="s">
        <v>70</v>
      </c>
      <c r="J4" s="4"/>
      <c r="K4" s="4"/>
      <c r="L4" s="91" t="e">
        <f t="shared" si="0"/>
        <v>#DIV/0!</v>
      </c>
      <c r="M4" s="92" t="e">
        <f t="shared" si="1"/>
        <v>#DIV/0!</v>
      </c>
      <c r="N4" s="167"/>
      <c r="O4" s="168"/>
      <c r="P4" s="168"/>
      <c r="Q4" s="169"/>
    </row>
    <row r="5" spans="1:17" x14ac:dyDescent="0.25">
      <c r="A5" s="60"/>
      <c r="B5" s="58"/>
      <c r="C5" s="58"/>
      <c r="D5" s="59"/>
      <c r="E5" s="20" t="s">
        <v>12</v>
      </c>
      <c r="F5" s="24">
        <v>0</v>
      </c>
      <c r="G5" s="27" t="e">
        <f>AVERAGE(D2,D3,D4)</f>
        <v>#DIV/0!</v>
      </c>
      <c r="H5" s="18" t="e">
        <f>F5/SUM($F$2:$F$4)*100</f>
        <v>#DIV/0!</v>
      </c>
      <c r="I5" s="4" t="s">
        <v>70</v>
      </c>
      <c r="J5" s="4"/>
      <c r="K5" s="4"/>
      <c r="L5" s="91" t="e">
        <f t="shared" si="0"/>
        <v>#DIV/0!</v>
      </c>
      <c r="M5" s="92" t="e">
        <f t="shared" si="1"/>
        <v>#DIV/0!</v>
      </c>
      <c r="N5" s="167"/>
      <c r="O5" s="168"/>
      <c r="P5" s="168"/>
      <c r="Q5" s="169"/>
    </row>
    <row r="6" spans="1:17" x14ac:dyDescent="0.25">
      <c r="A6" s="60"/>
      <c r="B6" s="58"/>
      <c r="C6" s="58"/>
      <c r="D6" s="59"/>
      <c r="H6" s="14"/>
      <c r="I6" s="4" t="s">
        <v>70</v>
      </c>
      <c r="K6" s="4"/>
      <c r="L6" s="91" t="e">
        <f t="shared" si="0"/>
        <v>#DIV/0!</v>
      </c>
      <c r="M6" s="92" t="e">
        <f t="shared" si="1"/>
        <v>#DIV/0!</v>
      </c>
      <c r="N6" s="167"/>
      <c r="O6" s="168"/>
      <c r="P6" s="168"/>
      <c r="Q6" s="169"/>
    </row>
    <row r="7" spans="1:17" x14ac:dyDescent="0.25">
      <c r="A7" s="60"/>
      <c r="B7" s="58"/>
      <c r="C7" s="58"/>
      <c r="D7" s="59"/>
      <c r="H7" s="14"/>
      <c r="I7" s="4" t="s">
        <v>70</v>
      </c>
      <c r="K7" s="4"/>
      <c r="L7" s="91" t="e">
        <f t="shared" si="0"/>
        <v>#DIV/0!</v>
      </c>
      <c r="M7" s="92" t="e">
        <f t="shared" si="1"/>
        <v>#DIV/0!</v>
      </c>
      <c r="N7" s="167"/>
      <c r="O7" s="168"/>
      <c r="P7" s="168"/>
      <c r="Q7" s="169"/>
    </row>
    <row r="8" spans="1:17" x14ac:dyDescent="0.25">
      <c r="A8" s="60"/>
      <c r="B8" s="58"/>
      <c r="C8" s="58"/>
      <c r="D8" s="59"/>
      <c r="H8" s="14"/>
      <c r="I8" s="4" t="s">
        <v>70</v>
      </c>
      <c r="K8" s="4"/>
      <c r="L8" s="91" t="e">
        <f t="shared" si="0"/>
        <v>#DIV/0!</v>
      </c>
      <c r="M8" s="92" t="e">
        <f t="shared" si="1"/>
        <v>#DIV/0!</v>
      </c>
      <c r="N8" s="167"/>
      <c r="O8" s="168"/>
      <c r="P8" s="168"/>
      <c r="Q8" s="169"/>
    </row>
    <row r="9" spans="1:17" x14ac:dyDescent="0.25">
      <c r="A9" s="60"/>
      <c r="B9" s="58"/>
      <c r="C9" s="58"/>
      <c r="D9" s="59"/>
      <c r="E9" s="181" t="s">
        <v>14</v>
      </c>
      <c r="F9" s="176"/>
      <c r="G9" s="176"/>
      <c r="H9" s="177"/>
      <c r="I9" s="4" t="s">
        <v>70</v>
      </c>
      <c r="K9" s="4"/>
      <c r="L9" s="91" t="e">
        <f t="shared" si="0"/>
        <v>#DIV/0!</v>
      </c>
      <c r="M9" s="92" t="e">
        <f t="shared" si="1"/>
        <v>#DIV/0!</v>
      </c>
      <c r="N9" s="167"/>
      <c r="O9" s="168"/>
      <c r="P9" s="168"/>
      <c r="Q9" s="169"/>
    </row>
    <row r="10" spans="1:17" ht="15.75" thickBot="1" x14ac:dyDescent="0.3">
      <c r="A10" s="60"/>
      <c r="B10" s="58"/>
      <c r="C10" s="58"/>
      <c r="D10" s="59"/>
      <c r="E10" s="31">
        <f>K46</f>
        <v>0</v>
      </c>
      <c r="F10" s="4"/>
      <c r="G10" s="19">
        <f>E10-K39</f>
        <v>0</v>
      </c>
      <c r="H10" s="9" t="s">
        <v>27</v>
      </c>
      <c r="I10" s="4" t="s">
        <v>70</v>
      </c>
      <c r="K10" s="4"/>
      <c r="L10" s="93" t="e">
        <f t="shared" si="0"/>
        <v>#DIV/0!</v>
      </c>
      <c r="M10" s="94" t="e">
        <f t="shared" si="1"/>
        <v>#DIV/0!</v>
      </c>
      <c r="N10" s="170"/>
      <c r="O10" s="171"/>
      <c r="P10" s="171"/>
      <c r="Q10" s="172"/>
    </row>
    <row r="11" spans="1:17" x14ac:dyDescent="0.25">
      <c r="A11" s="60"/>
      <c r="B11" s="58"/>
      <c r="C11" s="58"/>
      <c r="D11" s="59"/>
      <c r="E11" s="181" t="s">
        <v>15</v>
      </c>
      <c r="F11" s="176"/>
      <c r="G11" s="176"/>
      <c r="H11" s="177"/>
      <c r="I11" s="16"/>
      <c r="J11" s="17"/>
      <c r="K11" s="32">
        <f>SUM(K2:K10)</f>
        <v>0</v>
      </c>
      <c r="L11" s="45"/>
      <c r="M11" s="61"/>
    </row>
    <row r="12" spans="1:17" ht="15.75" thickBot="1" x14ac:dyDescent="0.3">
      <c r="A12" s="60"/>
      <c r="B12" s="58"/>
      <c r="C12" s="58"/>
      <c r="D12" s="59"/>
      <c r="E12" s="31">
        <f>SUM(K11+K33+F3+F5)</f>
        <v>0</v>
      </c>
      <c r="F12" s="4"/>
      <c r="G12" s="19">
        <f>E12-K21</f>
        <v>0</v>
      </c>
      <c r="H12" s="9" t="s">
        <v>27</v>
      </c>
      <c r="I12" s="178" t="s">
        <v>17</v>
      </c>
      <c r="J12" s="179"/>
      <c r="K12" s="180"/>
      <c r="L12" s="45"/>
      <c r="M12" s="61"/>
    </row>
    <row r="13" spans="1:17" x14ac:dyDescent="0.25">
      <c r="A13" s="60"/>
      <c r="B13" s="58"/>
      <c r="C13" s="58"/>
      <c r="D13" s="59"/>
      <c r="E13" s="181" t="s">
        <v>24</v>
      </c>
      <c r="F13" s="177"/>
      <c r="G13" s="181" t="s">
        <v>26</v>
      </c>
      <c r="H13" s="177"/>
      <c r="I13" s="4" t="s">
        <v>70</v>
      </c>
      <c r="J13" s="4"/>
      <c r="K13" s="4"/>
      <c r="L13" s="100" t="e">
        <f t="shared" ref="L13:L32" si="2">K13/$K$33*100</f>
        <v>#DIV/0!</v>
      </c>
      <c r="M13" s="101" t="e">
        <f t="shared" ref="M13:M27" si="3">K13/$N$1*100</f>
        <v>#DIV/0!</v>
      </c>
    </row>
    <row r="14" spans="1:17" x14ac:dyDescent="0.25">
      <c r="A14" s="60"/>
      <c r="B14" s="58"/>
      <c r="C14" s="58"/>
      <c r="D14" s="70"/>
      <c r="E14" s="182">
        <f>E10-E12</f>
        <v>0</v>
      </c>
      <c r="F14" s="183"/>
      <c r="G14" s="183">
        <f>E14</f>
        <v>0</v>
      </c>
      <c r="H14" s="184"/>
      <c r="I14" s="4" t="s">
        <v>70</v>
      </c>
      <c r="J14" s="4"/>
      <c r="K14" s="4"/>
      <c r="L14" s="102" t="e">
        <f t="shared" si="2"/>
        <v>#DIV/0!</v>
      </c>
      <c r="M14" s="103" t="e">
        <f t="shared" si="3"/>
        <v>#DIV/0!</v>
      </c>
    </row>
    <row r="15" spans="1:17" x14ac:dyDescent="0.25">
      <c r="A15" s="60"/>
      <c r="B15" s="58"/>
      <c r="C15" s="58"/>
      <c r="D15" s="59"/>
      <c r="E15" s="5"/>
      <c r="F15" s="5"/>
      <c r="G15" s="5"/>
      <c r="H15" s="9"/>
      <c r="I15" s="4" t="s">
        <v>70</v>
      </c>
      <c r="J15" s="4"/>
      <c r="K15" s="4"/>
      <c r="L15" s="102" t="e">
        <f t="shared" si="2"/>
        <v>#DIV/0!</v>
      </c>
      <c r="M15" s="103" t="e">
        <f t="shared" si="3"/>
        <v>#DIV/0!</v>
      </c>
    </row>
    <row r="16" spans="1:17" x14ac:dyDescent="0.25">
      <c r="A16" s="60"/>
      <c r="B16" s="58"/>
      <c r="C16" s="58"/>
      <c r="D16" s="59"/>
      <c r="E16" s="5"/>
      <c r="F16" s="5"/>
      <c r="G16" s="5"/>
      <c r="H16" s="9"/>
      <c r="I16" s="4" t="s">
        <v>70</v>
      </c>
      <c r="J16" s="4"/>
      <c r="K16" s="4"/>
      <c r="L16" s="102" t="e">
        <f t="shared" si="2"/>
        <v>#DIV/0!</v>
      </c>
      <c r="M16" s="103" t="e">
        <f t="shared" si="3"/>
        <v>#DIV/0!</v>
      </c>
    </row>
    <row r="17" spans="1:15" x14ac:dyDescent="0.25">
      <c r="A17" s="60"/>
      <c r="B17" s="58"/>
      <c r="C17" s="58"/>
      <c r="D17" s="59"/>
      <c r="H17" s="14"/>
      <c r="I17" s="4" t="s">
        <v>70</v>
      </c>
      <c r="J17" s="4"/>
      <c r="K17" s="4"/>
      <c r="L17" s="102" t="e">
        <f t="shared" si="2"/>
        <v>#DIV/0!</v>
      </c>
      <c r="M17" s="103" t="e">
        <f t="shared" si="3"/>
        <v>#DIV/0!</v>
      </c>
    </row>
    <row r="18" spans="1:15" x14ac:dyDescent="0.25">
      <c r="A18" s="60"/>
      <c r="B18" s="58"/>
      <c r="C18" s="58"/>
      <c r="D18" s="59"/>
      <c r="H18" s="14"/>
      <c r="I18" s="4" t="s">
        <v>70</v>
      </c>
      <c r="J18" s="4"/>
      <c r="K18" s="4"/>
      <c r="L18" s="102" t="e">
        <f t="shared" si="2"/>
        <v>#DIV/0!</v>
      </c>
      <c r="M18" s="103" t="e">
        <f t="shared" si="3"/>
        <v>#DIV/0!</v>
      </c>
    </row>
    <row r="19" spans="1:15" x14ac:dyDescent="0.25">
      <c r="A19" s="60"/>
      <c r="B19" s="58"/>
      <c r="C19" s="58"/>
      <c r="D19" s="59"/>
      <c r="H19" s="14"/>
      <c r="I19" s="4" t="s">
        <v>70</v>
      </c>
      <c r="J19" s="4"/>
      <c r="K19" s="4"/>
      <c r="L19" s="102" t="e">
        <f t="shared" si="2"/>
        <v>#DIV/0!</v>
      </c>
      <c r="M19" s="103" t="e">
        <f t="shared" si="3"/>
        <v>#DIV/0!</v>
      </c>
    </row>
    <row r="20" spans="1:15" x14ac:dyDescent="0.25">
      <c r="A20" s="60"/>
      <c r="B20" s="58"/>
      <c r="C20" s="58"/>
      <c r="D20" s="59"/>
      <c r="H20" s="14"/>
      <c r="I20" s="4" t="s">
        <v>70</v>
      </c>
      <c r="J20" s="4"/>
      <c r="K20" s="4"/>
      <c r="L20" s="102" t="e">
        <f t="shared" si="2"/>
        <v>#DIV/0!</v>
      </c>
      <c r="M20" s="103" t="e">
        <f t="shared" si="3"/>
        <v>#DIV/0!</v>
      </c>
    </row>
    <row r="21" spans="1:15" x14ac:dyDescent="0.25">
      <c r="A21" s="60"/>
      <c r="B21" s="58"/>
      <c r="C21" s="58"/>
      <c r="D21" s="59"/>
      <c r="H21" s="14"/>
      <c r="I21" s="4" t="s">
        <v>70</v>
      </c>
      <c r="J21" s="4"/>
      <c r="K21" s="4"/>
      <c r="L21" s="102" t="e">
        <f t="shared" si="2"/>
        <v>#DIV/0!</v>
      </c>
      <c r="M21" s="103" t="e">
        <f t="shared" si="3"/>
        <v>#DIV/0!</v>
      </c>
      <c r="O21" s="4"/>
    </row>
    <row r="22" spans="1:15" x14ac:dyDescent="0.25">
      <c r="A22" s="60"/>
      <c r="B22" s="58"/>
      <c r="C22" s="58"/>
      <c r="D22" s="59"/>
      <c r="H22" s="14"/>
      <c r="I22" s="4" t="s">
        <v>70</v>
      </c>
      <c r="J22" s="4"/>
      <c r="K22" s="4"/>
      <c r="L22" s="102" t="e">
        <f t="shared" si="2"/>
        <v>#DIV/0!</v>
      </c>
      <c r="M22" s="103" t="e">
        <f t="shared" si="3"/>
        <v>#DIV/0!</v>
      </c>
    </row>
    <row r="23" spans="1:15" x14ac:dyDescent="0.25">
      <c r="A23" s="60"/>
      <c r="B23" s="58"/>
      <c r="C23" s="58"/>
      <c r="D23" s="59"/>
      <c r="H23" s="14"/>
      <c r="I23" s="4" t="s">
        <v>70</v>
      </c>
      <c r="J23" s="4"/>
      <c r="K23" s="4"/>
      <c r="L23" s="102" t="e">
        <f t="shared" si="2"/>
        <v>#DIV/0!</v>
      </c>
      <c r="M23" s="103" t="e">
        <f t="shared" si="3"/>
        <v>#DIV/0!</v>
      </c>
    </row>
    <row r="24" spans="1:15" x14ac:dyDescent="0.25">
      <c r="A24" s="70"/>
      <c r="B24" s="70"/>
      <c r="C24" s="70"/>
      <c r="D24" s="59"/>
      <c r="H24" s="14"/>
      <c r="I24" s="4" t="s">
        <v>70</v>
      </c>
      <c r="J24" s="4"/>
      <c r="K24" s="4"/>
      <c r="L24" s="102" t="e">
        <f t="shared" si="2"/>
        <v>#DIV/0!</v>
      </c>
      <c r="M24" s="103" t="e">
        <f t="shared" si="3"/>
        <v>#DIV/0!</v>
      </c>
    </row>
    <row r="25" spans="1:15" x14ac:dyDescent="0.25">
      <c r="A25" s="58"/>
      <c r="B25" s="58"/>
      <c r="C25" s="58"/>
      <c r="D25" s="59"/>
      <c r="H25" s="14"/>
      <c r="I25" s="4" t="s">
        <v>70</v>
      </c>
      <c r="J25" s="4"/>
      <c r="K25" s="4"/>
      <c r="L25" s="102" t="e">
        <f t="shared" si="2"/>
        <v>#DIV/0!</v>
      </c>
      <c r="M25" s="103" t="e">
        <f t="shared" si="3"/>
        <v>#DIV/0!</v>
      </c>
    </row>
    <row r="26" spans="1:15" x14ac:dyDescent="0.25">
      <c r="A26" s="58"/>
      <c r="B26" s="58"/>
      <c r="C26" s="58"/>
      <c r="D26" s="59"/>
      <c r="H26" s="14"/>
      <c r="I26" s="4" t="s">
        <v>70</v>
      </c>
      <c r="J26" s="4"/>
      <c r="K26" s="4"/>
      <c r="L26" s="102" t="e">
        <f t="shared" si="2"/>
        <v>#DIV/0!</v>
      </c>
      <c r="M26" s="103" t="e">
        <f t="shared" si="3"/>
        <v>#DIV/0!</v>
      </c>
    </row>
    <row r="27" spans="1:15" x14ac:dyDescent="0.25">
      <c r="A27" s="58"/>
      <c r="B27" s="58"/>
      <c r="C27" s="58"/>
      <c r="D27" s="59"/>
      <c r="E27" s="173" t="s">
        <v>18</v>
      </c>
      <c r="F27" s="174"/>
      <c r="G27" s="174"/>
      <c r="H27" s="175"/>
      <c r="I27" s="4" t="s">
        <v>70</v>
      </c>
      <c r="J27" s="4"/>
      <c r="K27" s="4"/>
      <c r="L27" s="102" t="e">
        <f t="shared" si="2"/>
        <v>#DIV/0!</v>
      </c>
      <c r="M27" s="103" t="e">
        <f t="shared" si="3"/>
        <v>#DIV/0!</v>
      </c>
    </row>
    <row r="28" spans="1:15" x14ac:dyDescent="0.25">
      <c r="A28" s="58"/>
      <c r="B28" s="58"/>
      <c r="C28" s="58"/>
      <c r="D28" s="59"/>
      <c r="E28" s="75" t="s">
        <v>19</v>
      </c>
      <c r="F28" s="7" t="str">
        <f>IF(K11=F2,"True","False")</f>
        <v>True</v>
      </c>
      <c r="G28" s="4"/>
      <c r="H28" s="9"/>
      <c r="I28" s="4" t="s">
        <v>70</v>
      </c>
      <c r="J28" s="4"/>
      <c r="K28" s="4"/>
      <c r="L28" s="102" t="e">
        <f t="shared" si="2"/>
        <v>#DIV/0!</v>
      </c>
      <c r="M28" s="103" t="e">
        <f>K28/$N$1*100</f>
        <v>#DIV/0!</v>
      </c>
    </row>
    <row r="29" spans="1:15" x14ac:dyDescent="0.25">
      <c r="A29" s="58"/>
      <c r="B29" s="58"/>
      <c r="C29" s="58"/>
      <c r="D29" s="59"/>
      <c r="E29" s="75" t="s">
        <v>20</v>
      </c>
      <c r="F29" s="7" t="str">
        <f>IF(K33=F4,"True","False")</f>
        <v>True</v>
      </c>
      <c r="G29" s="4"/>
      <c r="H29" s="9"/>
      <c r="I29" s="4" t="s">
        <v>70</v>
      </c>
      <c r="J29" s="4"/>
      <c r="K29" s="4"/>
      <c r="L29" s="102" t="e">
        <f t="shared" si="2"/>
        <v>#DIV/0!</v>
      </c>
      <c r="M29" s="103" t="e">
        <f>K29/$N$1*100</f>
        <v>#DIV/0!</v>
      </c>
    </row>
    <row r="30" spans="1:15" x14ac:dyDescent="0.25">
      <c r="A30" s="58"/>
      <c r="B30" s="58"/>
      <c r="C30" s="58"/>
      <c r="D30" s="59"/>
      <c r="E30" s="76" t="s">
        <v>21</v>
      </c>
      <c r="F30" s="8" t="str">
        <f>IF(AND(F28="True",F29="True"),"True","False")</f>
        <v>True</v>
      </c>
      <c r="G30" s="4"/>
      <c r="H30" s="9"/>
      <c r="I30" s="4" t="s">
        <v>70</v>
      </c>
      <c r="J30" s="4"/>
      <c r="K30" s="4"/>
      <c r="L30" s="102" t="e">
        <f t="shared" si="2"/>
        <v>#DIV/0!</v>
      </c>
      <c r="M30" s="103" t="e">
        <f>K30/$N$1*100</f>
        <v>#DIV/0!</v>
      </c>
    </row>
    <row r="31" spans="1:15" x14ac:dyDescent="0.25">
      <c r="A31" s="58"/>
      <c r="B31" s="58"/>
      <c r="C31" s="58"/>
      <c r="D31" s="59"/>
      <c r="E31" s="75"/>
      <c r="F31" s="7"/>
      <c r="G31" s="4"/>
      <c r="H31" s="9"/>
      <c r="I31" s="4" t="s">
        <v>70</v>
      </c>
      <c r="L31" s="102" t="e">
        <f t="shared" si="2"/>
        <v>#DIV/0!</v>
      </c>
      <c r="M31" s="103" t="e">
        <f>K31/$N$1*100</f>
        <v>#DIV/0!</v>
      </c>
    </row>
    <row r="32" spans="1:15" ht="15.75" thickBot="1" x14ac:dyDescent="0.3">
      <c r="A32" s="70"/>
      <c r="B32" s="70"/>
      <c r="C32" s="70"/>
      <c r="D32" s="59"/>
      <c r="E32" s="16" t="s">
        <v>23</v>
      </c>
      <c r="F32" s="77">
        <f ca="1">TODAY()</f>
        <v>42846</v>
      </c>
      <c r="G32" s="78">
        <f ca="1">NOW()</f>
        <v>42846.893432407407</v>
      </c>
      <c r="H32" s="79"/>
      <c r="I32" s="4" t="s">
        <v>70</v>
      </c>
      <c r="K32" s="4"/>
      <c r="L32" s="104" t="e">
        <f t="shared" si="2"/>
        <v>#DIV/0!</v>
      </c>
      <c r="M32" s="105" t="e">
        <f>K32/$N$1*100</f>
        <v>#DIV/0!</v>
      </c>
    </row>
    <row r="33" spans="1:12" x14ac:dyDescent="0.25">
      <c r="A33" s="70"/>
      <c r="B33" s="70"/>
      <c r="C33" s="70"/>
      <c r="D33" s="59"/>
      <c r="E33" s="3"/>
      <c r="H33" s="14"/>
      <c r="I33" s="4"/>
      <c r="J33" s="4"/>
      <c r="K33" s="32">
        <f>SUM(K13:K32)</f>
        <v>0</v>
      </c>
      <c r="L33" s="44"/>
    </row>
    <row r="34" spans="1:12" x14ac:dyDescent="0.25">
      <c r="A34" s="70"/>
      <c r="B34" s="70"/>
      <c r="C34" s="70"/>
      <c r="D34" s="59"/>
      <c r="E34" s="3"/>
      <c r="H34" s="14"/>
      <c r="I34" s="176" t="s">
        <v>22</v>
      </c>
      <c r="J34" s="176"/>
      <c r="K34" s="177"/>
      <c r="L34" s="44"/>
    </row>
    <row r="35" spans="1:12" x14ac:dyDescent="0.25">
      <c r="A35" s="70"/>
      <c r="B35" s="70"/>
      <c r="C35" s="70"/>
      <c r="D35" s="59"/>
      <c r="E35" s="3"/>
      <c r="H35" s="14"/>
      <c r="I35" s="4" t="s">
        <v>71</v>
      </c>
      <c r="J35" s="4"/>
      <c r="K35" s="4"/>
      <c r="L35" s="97" t="e">
        <f t="shared" ref="L35:L45" si="4">K35/$K$46*100</f>
        <v>#DIV/0!</v>
      </c>
    </row>
    <row r="36" spans="1:12" x14ac:dyDescent="0.25">
      <c r="A36" s="70"/>
      <c r="B36" s="70"/>
      <c r="C36" s="70"/>
      <c r="D36" s="59"/>
      <c r="E36" s="3"/>
      <c r="H36" s="14"/>
      <c r="I36" s="4" t="s">
        <v>70</v>
      </c>
      <c r="J36" s="4"/>
      <c r="K36" s="4"/>
      <c r="L36" s="98" t="e">
        <f t="shared" si="4"/>
        <v>#DIV/0!</v>
      </c>
    </row>
    <row r="37" spans="1:12" x14ac:dyDescent="0.25">
      <c r="A37" s="70"/>
      <c r="B37" s="70"/>
      <c r="C37" s="70"/>
      <c r="D37" s="59"/>
      <c r="E37" s="3"/>
      <c r="H37" s="14"/>
      <c r="I37" s="4" t="s">
        <v>70</v>
      </c>
      <c r="J37" s="4"/>
      <c r="K37" s="4"/>
      <c r="L37" s="98" t="e">
        <f t="shared" si="4"/>
        <v>#DIV/0!</v>
      </c>
    </row>
    <row r="38" spans="1:12" x14ac:dyDescent="0.25">
      <c r="A38" s="70"/>
      <c r="B38" s="70"/>
      <c r="C38" s="70"/>
      <c r="D38" s="59"/>
      <c r="E38" s="3"/>
      <c r="F38" s="3"/>
      <c r="G38" s="3"/>
      <c r="H38" s="14"/>
      <c r="I38" s="4" t="s">
        <v>70</v>
      </c>
      <c r="J38" s="4"/>
      <c r="K38" s="4"/>
      <c r="L38" s="98" t="e">
        <f t="shared" si="4"/>
        <v>#DIV/0!</v>
      </c>
    </row>
    <row r="39" spans="1:12" x14ac:dyDescent="0.25">
      <c r="A39" s="70"/>
      <c r="B39" s="70"/>
      <c r="C39" s="70"/>
      <c r="D39" s="59"/>
      <c r="E39" s="3"/>
      <c r="F39" s="3"/>
      <c r="G39" s="3"/>
      <c r="H39" s="14"/>
      <c r="I39" s="4" t="s">
        <v>70</v>
      </c>
      <c r="J39" s="4"/>
      <c r="K39" s="4"/>
      <c r="L39" s="98" t="e">
        <f t="shared" si="4"/>
        <v>#DIV/0!</v>
      </c>
    </row>
    <row r="40" spans="1:12" x14ac:dyDescent="0.25">
      <c r="A40" s="70"/>
      <c r="B40" s="70"/>
      <c r="C40" s="70"/>
      <c r="D40" s="59"/>
      <c r="E40" s="3"/>
      <c r="F40" s="3"/>
      <c r="G40" s="3"/>
      <c r="H40" s="14"/>
      <c r="I40" s="4" t="s">
        <v>70</v>
      </c>
      <c r="J40" s="4"/>
      <c r="K40" s="4"/>
      <c r="L40" s="98" t="e">
        <f t="shared" si="4"/>
        <v>#DIV/0!</v>
      </c>
    </row>
    <row r="41" spans="1:12" x14ac:dyDescent="0.25">
      <c r="A41" s="70"/>
      <c r="B41" s="70"/>
      <c r="C41" s="70"/>
      <c r="D41" s="59"/>
      <c r="E41" s="3"/>
      <c r="F41" s="3"/>
      <c r="G41" s="3"/>
      <c r="H41" s="14"/>
      <c r="I41" s="4" t="s">
        <v>70</v>
      </c>
      <c r="J41" s="4"/>
      <c r="K41" s="4"/>
      <c r="L41" s="98" t="e">
        <f t="shared" si="4"/>
        <v>#DIV/0!</v>
      </c>
    </row>
    <row r="42" spans="1:12" x14ac:dyDescent="0.25">
      <c r="A42" s="70"/>
      <c r="B42" s="70"/>
      <c r="C42" s="70"/>
      <c r="D42" s="59"/>
      <c r="E42" s="3"/>
      <c r="F42" s="3"/>
      <c r="G42" s="3"/>
      <c r="H42" s="14"/>
      <c r="I42" s="4" t="s">
        <v>70</v>
      </c>
      <c r="J42" s="4"/>
      <c r="K42" s="4"/>
      <c r="L42" s="98" t="e">
        <f t="shared" si="4"/>
        <v>#DIV/0!</v>
      </c>
    </row>
    <row r="43" spans="1:12" x14ac:dyDescent="0.25">
      <c r="A43" s="70"/>
      <c r="B43" s="70"/>
      <c r="C43" s="70"/>
      <c r="D43" s="59"/>
      <c r="E43" s="3"/>
      <c r="F43" s="3"/>
      <c r="G43" s="3"/>
      <c r="H43" s="14"/>
      <c r="I43" s="4" t="s">
        <v>70</v>
      </c>
      <c r="J43" s="4"/>
      <c r="K43" s="4"/>
      <c r="L43" s="98" t="e">
        <f t="shared" si="4"/>
        <v>#DIV/0!</v>
      </c>
    </row>
    <row r="44" spans="1:12" x14ac:dyDescent="0.25">
      <c r="A44" s="70"/>
      <c r="B44" s="70"/>
      <c r="C44" s="70"/>
      <c r="D44" s="59"/>
      <c r="E44" s="3"/>
      <c r="F44" s="3"/>
      <c r="G44" s="3"/>
      <c r="H44" s="14"/>
      <c r="I44" s="4" t="s">
        <v>70</v>
      </c>
      <c r="J44" s="4"/>
      <c r="K44" s="4"/>
      <c r="L44" s="98" t="e">
        <f t="shared" si="4"/>
        <v>#DIV/0!</v>
      </c>
    </row>
    <row r="45" spans="1:12" x14ac:dyDescent="0.25">
      <c r="A45" s="70"/>
      <c r="B45" s="70"/>
      <c r="C45" s="70"/>
      <c r="D45" s="59"/>
      <c r="E45" s="3"/>
      <c r="F45" s="3"/>
      <c r="G45" s="3"/>
      <c r="H45" s="14"/>
      <c r="I45" s="4" t="s">
        <v>70</v>
      </c>
      <c r="J45" s="6"/>
      <c r="K45" s="4"/>
      <c r="L45" s="99" t="e">
        <f t="shared" si="4"/>
        <v>#DIV/0!</v>
      </c>
    </row>
    <row r="46" spans="1:12" x14ac:dyDescent="0.25">
      <c r="A46" s="70"/>
      <c r="B46" s="70"/>
      <c r="C46" s="70"/>
      <c r="D46" s="59"/>
      <c r="E46" s="3"/>
      <c r="F46" s="3"/>
      <c r="G46" s="3"/>
      <c r="H46" s="14"/>
      <c r="K46" s="33">
        <f>SUM(K35:K45)</f>
        <v>0</v>
      </c>
    </row>
    <row r="47" spans="1:12" x14ac:dyDescent="0.25">
      <c r="A47" s="70"/>
      <c r="B47" s="70"/>
      <c r="C47" s="70"/>
      <c r="D47" s="59"/>
      <c r="E47" s="3"/>
      <c r="F47" s="3"/>
      <c r="G47" s="3"/>
      <c r="H47" s="14"/>
      <c r="K47" s="114"/>
    </row>
    <row r="48" spans="1:12" x14ac:dyDescent="0.25">
      <c r="A48" s="70"/>
      <c r="B48" s="70"/>
      <c r="C48" s="70"/>
      <c r="D48" s="59"/>
      <c r="E48" s="3"/>
      <c r="F48" s="3"/>
      <c r="G48" s="3"/>
      <c r="H48" s="14"/>
      <c r="K48" s="14"/>
    </row>
    <row r="49" spans="1:11" x14ac:dyDescent="0.25">
      <c r="A49" s="70"/>
      <c r="B49" s="70"/>
      <c r="C49" s="70"/>
      <c r="D49" s="59"/>
      <c r="E49" s="3"/>
      <c r="F49" s="3"/>
      <c r="G49" s="3"/>
      <c r="H49" s="43"/>
      <c r="K49" s="14"/>
    </row>
    <row r="50" spans="1:11" x14ac:dyDescent="0.25">
      <c r="A50" s="70"/>
      <c r="B50" s="70"/>
      <c r="C50" s="70"/>
      <c r="D50" s="59"/>
      <c r="E50" s="3"/>
      <c r="F50" s="3"/>
      <c r="G50" s="3"/>
      <c r="H50" s="14"/>
      <c r="I50" s="3"/>
      <c r="J50" s="3"/>
      <c r="K50" s="14"/>
    </row>
    <row r="51" spans="1:11" x14ac:dyDescent="0.25">
      <c r="A51" s="70"/>
      <c r="B51" s="70"/>
      <c r="C51" s="70"/>
      <c r="D51" s="59"/>
      <c r="E51" s="3"/>
      <c r="F51" s="3"/>
      <c r="G51" s="3"/>
      <c r="H51" s="14"/>
      <c r="I51" s="3"/>
      <c r="J51" s="3"/>
      <c r="K51" s="14"/>
    </row>
    <row r="52" spans="1:11" x14ac:dyDescent="0.25">
      <c r="A52" s="70"/>
      <c r="B52" s="70"/>
      <c r="C52" s="70"/>
      <c r="D52" s="59"/>
      <c r="E52" s="3"/>
      <c r="F52" s="3"/>
      <c r="G52" s="3"/>
      <c r="H52" s="14"/>
      <c r="I52" s="3"/>
      <c r="J52" s="3"/>
      <c r="K52" s="14"/>
    </row>
    <row r="53" spans="1:11" x14ac:dyDescent="0.25">
      <c r="A53" s="70"/>
      <c r="B53" s="70"/>
      <c r="C53" s="70"/>
      <c r="D53" s="59"/>
      <c r="E53" s="3"/>
      <c r="F53" s="3"/>
      <c r="G53" s="3"/>
      <c r="H53" s="14"/>
      <c r="I53" s="3"/>
      <c r="J53" s="3"/>
      <c r="K53" s="14"/>
    </row>
    <row r="54" spans="1:11" x14ac:dyDescent="0.25">
      <c r="A54" s="70"/>
      <c r="B54" s="70"/>
      <c r="C54" s="70"/>
      <c r="D54" s="59"/>
      <c r="E54" s="3"/>
      <c r="F54" s="3"/>
      <c r="G54" s="3"/>
      <c r="H54" s="14"/>
      <c r="I54" s="3"/>
      <c r="J54" s="3"/>
      <c r="K54" s="14"/>
    </row>
    <row r="55" spans="1:11" x14ac:dyDescent="0.25">
      <c r="A55" s="70"/>
      <c r="B55" s="70"/>
      <c r="C55" s="70"/>
      <c r="D55" s="59"/>
      <c r="E55" s="3"/>
      <c r="F55" s="3"/>
      <c r="G55" s="3"/>
      <c r="H55" s="14"/>
      <c r="I55" s="3"/>
      <c r="J55" s="3"/>
      <c r="K55" s="14"/>
    </row>
    <row r="56" spans="1:11" x14ac:dyDescent="0.25">
      <c r="A56" s="70"/>
      <c r="B56" s="70"/>
      <c r="C56" s="70"/>
      <c r="D56" s="59"/>
      <c r="E56" s="3"/>
      <c r="F56" s="3"/>
      <c r="G56" s="3"/>
      <c r="H56" s="14"/>
      <c r="I56" s="3"/>
      <c r="J56" s="3"/>
      <c r="K56" s="14"/>
    </row>
    <row r="57" spans="1:11" x14ac:dyDescent="0.25">
      <c r="A57" s="70"/>
      <c r="B57" s="70"/>
      <c r="C57" s="70"/>
      <c r="D57" s="59"/>
      <c r="E57" s="3"/>
      <c r="F57" s="3"/>
      <c r="G57" s="3"/>
      <c r="H57" s="14"/>
      <c r="I57" s="3"/>
      <c r="J57" s="3"/>
      <c r="K57" s="14"/>
    </row>
    <row r="58" spans="1:11" x14ac:dyDescent="0.25">
      <c r="A58" s="70"/>
      <c r="B58" s="70"/>
      <c r="C58" s="70"/>
      <c r="D58" s="59"/>
      <c r="E58" s="3"/>
      <c r="F58" s="3"/>
      <c r="G58" s="3"/>
      <c r="H58" s="14"/>
      <c r="I58" s="3"/>
      <c r="J58" s="3"/>
      <c r="K58" s="14"/>
    </row>
    <row r="59" spans="1:11" x14ac:dyDescent="0.25">
      <c r="A59" s="70"/>
      <c r="B59" s="70"/>
      <c r="C59" s="70"/>
      <c r="D59" s="59"/>
      <c r="E59" s="3"/>
      <c r="F59" s="3"/>
      <c r="G59" s="3"/>
      <c r="H59" s="14"/>
      <c r="I59" s="3"/>
      <c r="J59" s="3"/>
      <c r="K59" s="14"/>
    </row>
    <row r="60" spans="1:11" x14ac:dyDescent="0.25">
      <c r="A60" s="70"/>
      <c r="B60" s="70"/>
      <c r="C60" s="70"/>
      <c r="D60" s="59"/>
      <c r="E60" s="3"/>
      <c r="F60" s="3"/>
      <c r="G60" s="3"/>
      <c r="H60" s="14"/>
      <c r="I60" s="3"/>
      <c r="J60" s="3"/>
      <c r="K60" s="14"/>
    </row>
    <row r="61" spans="1:11" x14ac:dyDescent="0.25">
      <c r="A61" s="70"/>
      <c r="B61" s="70"/>
      <c r="C61" s="70"/>
      <c r="D61" s="59"/>
      <c r="E61" s="3"/>
      <c r="F61" s="3"/>
      <c r="G61" s="3"/>
      <c r="H61" s="14"/>
      <c r="I61" s="3"/>
      <c r="J61" s="3"/>
      <c r="K61" s="14"/>
    </row>
    <row r="62" spans="1:11" x14ac:dyDescent="0.25">
      <c r="A62" s="70"/>
      <c r="B62" s="70"/>
      <c r="C62" s="70"/>
      <c r="D62" s="59"/>
      <c r="E62" s="3"/>
      <c r="F62" s="3"/>
      <c r="G62" s="3"/>
      <c r="H62" s="14"/>
      <c r="I62" s="3"/>
      <c r="J62" s="3"/>
      <c r="K62" s="14"/>
    </row>
    <row r="63" spans="1:11" x14ac:dyDescent="0.25">
      <c r="A63" s="70"/>
      <c r="B63" s="70"/>
      <c r="C63" s="70"/>
      <c r="D63" s="59"/>
      <c r="H63" s="14"/>
      <c r="I63" s="3"/>
      <c r="J63" s="3"/>
      <c r="K63" s="14"/>
    </row>
    <row r="64" spans="1:11" x14ac:dyDescent="0.25">
      <c r="A64" s="70"/>
      <c r="B64" s="70"/>
      <c r="C64" s="70"/>
      <c r="D64" s="59"/>
      <c r="H64" s="14"/>
      <c r="I64" s="3"/>
      <c r="J64" s="3"/>
      <c r="K64" s="14"/>
    </row>
    <row r="65" spans="1:11" x14ac:dyDescent="0.25">
      <c r="A65" s="70"/>
      <c r="B65" s="70"/>
      <c r="C65" s="70"/>
      <c r="D65" s="59"/>
      <c r="H65" s="14"/>
      <c r="I65" s="3"/>
      <c r="J65" s="3"/>
      <c r="K65" s="14"/>
    </row>
    <row r="66" spans="1:11" x14ac:dyDescent="0.25">
      <c r="A66" s="70"/>
      <c r="B66" s="70"/>
      <c r="C66" s="70"/>
      <c r="D66" s="59"/>
      <c r="H66" s="14"/>
      <c r="I66" s="3"/>
      <c r="J66" s="3"/>
      <c r="K66" s="14"/>
    </row>
    <row r="67" spans="1:11" x14ac:dyDescent="0.25">
      <c r="A67" s="70"/>
      <c r="B67" s="70"/>
      <c r="C67" s="70"/>
      <c r="D67" s="59"/>
      <c r="H67" s="14"/>
      <c r="I67" s="3"/>
      <c r="J67" s="3"/>
      <c r="K67" s="14"/>
    </row>
    <row r="68" spans="1:11" x14ac:dyDescent="0.25">
      <c r="A68" s="70"/>
      <c r="B68" s="70"/>
      <c r="C68" s="70"/>
      <c r="D68" s="59"/>
      <c r="H68" s="14"/>
      <c r="I68" s="3"/>
      <c r="J68" s="3"/>
      <c r="K68" s="14"/>
    </row>
    <row r="69" spans="1:11" x14ac:dyDescent="0.25">
      <c r="A69" s="70"/>
      <c r="B69" s="70"/>
      <c r="C69" s="70"/>
      <c r="D69" s="59"/>
      <c r="H69" s="14"/>
      <c r="I69" s="3"/>
      <c r="J69" s="3"/>
      <c r="K69" s="14"/>
    </row>
    <row r="70" spans="1:11" x14ac:dyDescent="0.25">
      <c r="A70" s="70"/>
      <c r="B70" s="58"/>
      <c r="C70" s="70"/>
      <c r="D70" s="59"/>
      <c r="H70" s="14"/>
      <c r="K70" s="14"/>
    </row>
    <row r="71" spans="1:11" x14ac:dyDescent="0.25">
      <c r="A71" s="70"/>
      <c r="B71" s="58"/>
      <c r="C71" s="70"/>
      <c r="D71" s="59"/>
      <c r="H71" s="14"/>
      <c r="K71" s="14"/>
    </row>
    <row r="72" spans="1:11" x14ac:dyDescent="0.25">
      <c r="A72" s="70"/>
      <c r="B72" s="58"/>
      <c r="C72" s="70"/>
      <c r="D72" s="59"/>
      <c r="H72" s="14"/>
      <c r="K72" s="14"/>
    </row>
    <row r="73" spans="1:11" x14ac:dyDescent="0.25">
      <c r="A73" s="70"/>
      <c r="B73" s="58"/>
      <c r="C73" s="70"/>
      <c r="D73" s="59"/>
      <c r="H73" s="14"/>
      <c r="K73" s="14"/>
    </row>
    <row r="74" spans="1:11" x14ac:dyDescent="0.25">
      <c r="A74" s="70"/>
      <c r="B74" s="58"/>
      <c r="C74" s="70"/>
      <c r="D74" s="59"/>
      <c r="H74" s="14"/>
      <c r="K74" s="14"/>
    </row>
    <row r="75" spans="1:11" x14ac:dyDescent="0.25">
      <c r="A75" s="70"/>
      <c r="B75" s="58"/>
      <c r="C75" s="70"/>
      <c r="D75" s="59"/>
      <c r="H75" s="14"/>
      <c r="K75" s="14"/>
    </row>
    <row r="76" spans="1:11" x14ac:dyDescent="0.25">
      <c r="A76" s="70"/>
      <c r="B76" s="58"/>
      <c r="C76" s="70"/>
      <c r="D76" s="59"/>
      <c r="H76" s="14"/>
      <c r="K76" s="14"/>
    </row>
    <row r="77" spans="1:11" x14ac:dyDescent="0.25">
      <c r="A77" s="70"/>
      <c r="B77" s="58"/>
      <c r="C77" s="70"/>
      <c r="D77" s="59"/>
      <c r="H77" s="14"/>
      <c r="K77" s="14"/>
    </row>
    <row r="78" spans="1:11" x14ac:dyDescent="0.25">
      <c r="A78" s="70"/>
      <c r="B78" s="58"/>
      <c r="C78" s="70"/>
      <c r="D78" s="59"/>
      <c r="H78" s="14"/>
      <c r="K78" s="14"/>
    </row>
    <row r="79" spans="1:11" x14ac:dyDescent="0.25">
      <c r="A79" s="70"/>
      <c r="B79" s="58"/>
      <c r="C79" s="70"/>
      <c r="D79" s="59"/>
      <c r="H79" s="14"/>
      <c r="K79" s="14"/>
    </row>
    <row r="80" spans="1:11" x14ac:dyDescent="0.25">
      <c r="A80" s="70"/>
      <c r="B80" s="58"/>
      <c r="C80" s="70"/>
      <c r="D80" s="59"/>
      <c r="H80" s="14"/>
      <c r="K80" s="14"/>
    </row>
    <row r="81" spans="1:11" x14ac:dyDescent="0.25">
      <c r="A81" s="70"/>
      <c r="B81" s="58"/>
      <c r="C81" s="70"/>
      <c r="D81" s="59"/>
      <c r="H81" s="14"/>
      <c r="K81" s="14"/>
    </row>
    <row r="82" spans="1:11" x14ac:dyDescent="0.25">
      <c r="A82" s="70"/>
      <c r="B82" s="58"/>
      <c r="C82" s="70"/>
      <c r="D82" s="59"/>
      <c r="H82" s="14"/>
      <c r="K82" s="14"/>
    </row>
    <row r="83" spans="1:11" x14ac:dyDescent="0.25">
      <c r="A83" s="70"/>
      <c r="B83" s="58"/>
      <c r="C83" s="70"/>
      <c r="D83" s="59"/>
      <c r="H83" s="14"/>
      <c r="K83" s="14"/>
    </row>
    <row r="84" spans="1:11" x14ac:dyDescent="0.25">
      <c r="A84" s="70"/>
      <c r="B84" s="58"/>
      <c r="C84" s="70"/>
      <c r="D84" s="59"/>
      <c r="H84" s="14"/>
      <c r="K84" s="14"/>
    </row>
    <row r="85" spans="1:11" x14ac:dyDescent="0.25">
      <c r="A85" s="70"/>
      <c r="B85" s="58"/>
      <c r="C85" s="70"/>
      <c r="D85" s="59"/>
      <c r="H85" s="14"/>
      <c r="K85" s="14"/>
    </row>
    <row r="86" spans="1:11" x14ac:dyDescent="0.25">
      <c r="A86" s="70"/>
      <c r="B86" s="58"/>
      <c r="C86" s="70"/>
      <c r="D86" s="59"/>
      <c r="H86" s="14"/>
      <c r="K86" s="14"/>
    </row>
    <row r="87" spans="1:11" x14ac:dyDescent="0.25">
      <c r="A87" s="70"/>
      <c r="B87" s="58"/>
      <c r="C87" s="70"/>
      <c r="D87" s="59"/>
      <c r="H87" s="14"/>
      <c r="K87" s="14"/>
    </row>
    <row r="88" spans="1:11" x14ac:dyDescent="0.25">
      <c r="A88" s="70"/>
      <c r="B88" s="58"/>
      <c r="C88" s="70"/>
      <c r="D88" s="59"/>
      <c r="H88" s="14"/>
      <c r="K88" s="14"/>
    </row>
    <row r="89" spans="1:11" x14ac:dyDescent="0.25">
      <c r="A89" s="70"/>
      <c r="B89" s="58"/>
      <c r="C89" s="70"/>
      <c r="D89" s="59"/>
      <c r="H89" s="14"/>
      <c r="K89" s="14"/>
    </row>
    <row r="90" spans="1:11" x14ac:dyDescent="0.25">
      <c r="A90" s="58"/>
      <c r="B90" s="58"/>
      <c r="C90" s="70"/>
      <c r="D90" s="59"/>
      <c r="H90" s="14"/>
      <c r="K90" s="14"/>
    </row>
    <row r="91" spans="1:11" x14ac:dyDescent="0.25">
      <c r="A91" s="58"/>
      <c r="B91" s="58"/>
      <c r="C91" s="70"/>
      <c r="D91" s="59"/>
      <c r="H91" s="14"/>
      <c r="K91" s="14"/>
    </row>
    <row r="92" spans="1:11" x14ac:dyDescent="0.25">
      <c r="A92" s="58"/>
      <c r="B92" s="58"/>
      <c r="C92" s="70"/>
      <c r="D92" s="59"/>
      <c r="H92" s="14"/>
      <c r="K92" s="14"/>
    </row>
    <row r="93" spans="1:11" x14ac:dyDescent="0.25">
      <c r="A93" s="58"/>
      <c r="B93" s="58"/>
      <c r="C93" s="70"/>
      <c r="D93" s="59"/>
      <c r="H93" s="14"/>
      <c r="K93" s="14"/>
    </row>
    <row r="94" spans="1:11" x14ac:dyDescent="0.25">
      <c r="A94" s="58"/>
      <c r="B94" s="58"/>
      <c r="C94" s="70"/>
      <c r="D94" s="59"/>
      <c r="H94" s="14"/>
      <c r="K94" s="14"/>
    </row>
    <row r="95" spans="1:11" x14ac:dyDescent="0.25">
      <c r="A95" s="58"/>
      <c r="B95" s="58"/>
      <c r="C95" s="70"/>
      <c r="D95" s="59"/>
      <c r="H95" s="14"/>
      <c r="K95" s="14"/>
    </row>
    <row r="96" spans="1:11" x14ac:dyDescent="0.25">
      <c r="A96" s="58"/>
      <c r="B96" s="58"/>
      <c r="C96" s="57"/>
      <c r="D96" s="59"/>
      <c r="H96" s="14"/>
      <c r="K96" s="14"/>
    </row>
    <row r="97" spans="1:11" x14ac:dyDescent="0.25">
      <c r="A97" s="58"/>
      <c r="B97" s="58"/>
      <c r="C97" s="57"/>
      <c r="D97" s="59"/>
      <c r="H97" s="14"/>
      <c r="K97" s="14"/>
    </row>
    <row r="98" spans="1:11" x14ac:dyDescent="0.25">
      <c r="A98" s="58"/>
      <c r="B98" s="58"/>
      <c r="C98" s="57"/>
      <c r="D98" s="59"/>
      <c r="H98" s="14"/>
      <c r="K98" s="14"/>
    </row>
    <row r="99" spans="1:11" x14ac:dyDescent="0.25">
      <c r="A99" s="58"/>
      <c r="B99" s="58"/>
      <c r="C99" s="58"/>
      <c r="D99" s="59"/>
      <c r="H99" s="14"/>
      <c r="K99" s="14"/>
    </row>
    <row r="100" spans="1:11" x14ac:dyDescent="0.25">
      <c r="A100" s="58"/>
      <c r="B100" s="58"/>
      <c r="C100" s="58"/>
      <c r="D100" s="59"/>
      <c r="H100" s="14"/>
      <c r="K100" s="14"/>
    </row>
    <row r="101" spans="1:11" x14ac:dyDescent="0.25">
      <c r="A101" s="58"/>
      <c r="B101" s="58"/>
      <c r="C101" s="58"/>
      <c r="D101" s="59"/>
      <c r="H101" s="14"/>
      <c r="K101" s="14"/>
    </row>
    <row r="102" spans="1:11" x14ac:dyDescent="0.25">
      <c r="A102" s="58"/>
      <c r="B102" s="58"/>
      <c r="C102" s="58"/>
      <c r="D102" s="59"/>
      <c r="H102" s="14"/>
      <c r="K102" s="14"/>
    </row>
    <row r="103" spans="1:11" x14ac:dyDescent="0.25">
      <c r="A103" s="73"/>
      <c r="B103" s="73"/>
      <c r="C103" s="73"/>
      <c r="D103" s="74"/>
      <c r="E103" s="62"/>
      <c r="F103" s="62"/>
      <c r="G103" s="62"/>
      <c r="H103" s="63"/>
      <c r="I103" s="62"/>
      <c r="J103" s="62"/>
      <c r="K103" s="63"/>
    </row>
    <row r="104" spans="1:11" x14ac:dyDescent="0.25">
      <c r="A104" s="71"/>
      <c r="B104" s="72"/>
      <c r="C104" s="72"/>
      <c r="D104" s="72"/>
    </row>
    <row r="105" spans="1:11" x14ac:dyDescent="0.25">
      <c r="A105" s="72"/>
      <c r="B105" s="72"/>
      <c r="C105" s="72"/>
      <c r="D105" s="72"/>
    </row>
    <row r="106" spans="1:11" x14ac:dyDescent="0.25">
      <c r="A106" s="72"/>
      <c r="B106" s="72"/>
      <c r="C106" s="72"/>
      <c r="D106" s="72"/>
    </row>
    <row r="107" spans="1:11" x14ac:dyDescent="0.25">
      <c r="A107" s="72"/>
      <c r="B107" s="72"/>
      <c r="C107" s="72"/>
      <c r="D107" s="72"/>
    </row>
    <row r="108" spans="1:11" x14ac:dyDescent="0.25">
      <c r="A108" s="72"/>
      <c r="B108" s="72"/>
      <c r="C108" s="72"/>
      <c r="D108" s="72"/>
    </row>
    <row r="109" spans="1:11" x14ac:dyDescent="0.25">
      <c r="A109" s="72"/>
      <c r="B109" s="72"/>
      <c r="C109" s="72"/>
      <c r="D109" s="72"/>
    </row>
    <row r="110" spans="1:11" x14ac:dyDescent="0.25">
      <c r="A110" s="72"/>
      <c r="B110" s="72"/>
      <c r="C110" s="72"/>
      <c r="D110" s="72"/>
    </row>
    <row r="111" spans="1:11" x14ac:dyDescent="0.25">
      <c r="A111" s="72"/>
      <c r="B111" s="72"/>
      <c r="C111" s="72"/>
      <c r="D111" s="72"/>
    </row>
    <row r="112" spans="1:11" x14ac:dyDescent="0.25">
      <c r="A112" s="72"/>
      <c r="B112" s="72"/>
      <c r="C112" s="72"/>
      <c r="D112" s="72"/>
    </row>
    <row r="113" spans="1:4" x14ac:dyDescent="0.25">
      <c r="A113" s="72"/>
      <c r="B113" s="72"/>
      <c r="C113" s="72"/>
      <c r="D113" s="72"/>
    </row>
    <row r="114" spans="1:4" x14ac:dyDescent="0.25">
      <c r="A114" s="72"/>
      <c r="B114" s="72"/>
      <c r="C114" s="72"/>
      <c r="D114" s="72"/>
    </row>
    <row r="115" spans="1:4" x14ac:dyDescent="0.25">
      <c r="A115" s="72"/>
      <c r="B115" s="72"/>
      <c r="C115" s="72"/>
      <c r="D115" s="72"/>
    </row>
    <row r="116" spans="1:4" x14ac:dyDescent="0.25">
      <c r="A116" s="72"/>
      <c r="B116" s="72"/>
      <c r="C116" s="72"/>
      <c r="D116" s="72"/>
    </row>
    <row r="117" spans="1:4" x14ac:dyDescent="0.25">
      <c r="A117" s="72"/>
      <c r="B117" s="72"/>
      <c r="C117" s="72"/>
      <c r="D117" s="72"/>
    </row>
    <row r="118" spans="1:4" x14ac:dyDescent="0.25">
      <c r="A118" s="72"/>
      <c r="B118" s="72"/>
      <c r="C118" s="72"/>
      <c r="D118" s="72"/>
    </row>
    <row r="119" spans="1:4" x14ac:dyDescent="0.25">
      <c r="A119" s="72"/>
      <c r="B119" s="72"/>
      <c r="C119" s="72"/>
      <c r="D119" s="72"/>
    </row>
    <row r="120" spans="1:4" x14ac:dyDescent="0.25">
      <c r="A120" s="72"/>
      <c r="B120" s="72"/>
      <c r="C120" s="72"/>
      <c r="D120" s="72"/>
    </row>
    <row r="121" spans="1:4" x14ac:dyDescent="0.25">
      <c r="A121" s="72"/>
      <c r="B121" s="72"/>
      <c r="C121" s="72"/>
      <c r="D121" s="72"/>
    </row>
    <row r="122" spans="1:4" x14ac:dyDescent="0.25">
      <c r="A122" s="72"/>
      <c r="B122" s="72"/>
      <c r="C122" s="72"/>
      <c r="D122" s="72"/>
    </row>
    <row r="123" spans="1:4" x14ac:dyDescent="0.25">
      <c r="A123" s="72"/>
      <c r="B123" s="72"/>
      <c r="C123" s="72"/>
      <c r="D123" s="72"/>
    </row>
    <row r="124" spans="1:4" x14ac:dyDescent="0.25">
      <c r="A124" s="72"/>
      <c r="B124" s="72"/>
      <c r="C124" s="72"/>
      <c r="D124" s="72"/>
    </row>
    <row r="125" spans="1:4" x14ac:dyDescent="0.25">
      <c r="A125" s="72"/>
      <c r="B125" s="72"/>
      <c r="C125" s="72"/>
      <c r="D125" s="72"/>
    </row>
    <row r="126" spans="1:4" x14ac:dyDescent="0.25">
      <c r="A126" s="72"/>
      <c r="B126" s="72"/>
      <c r="C126" s="72"/>
      <c r="D126" s="72"/>
    </row>
    <row r="127" spans="1:4" x14ac:dyDescent="0.25">
      <c r="A127" s="72"/>
      <c r="B127" s="72"/>
      <c r="C127" s="72"/>
      <c r="D127" s="72"/>
    </row>
    <row r="128" spans="1:4" x14ac:dyDescent="0.25">
      <c r="A128" s="72"/>
      <c r="B128" s="72"/>
      <c r="C128" s="72"/>
      <c r="D128" s="72"/>
    </row>
    <row r="129" spans="1:4" x14ac:dyDescent="0.25">
      <c r="A129" s="72"/>
      <c r="B129" s="72"/>
      <c r="C129" s="72"/>
      <c r="D129" s="72"/>
    </row>
    <row r="130" spans="1:4" x14ac:dyDescent="0.25">
      <c r="A130" s="72"/>
      <c r="B130" s="72"/>
      <c r="C130" s="72"/>
      <c r="D130" s="72"/>
    </row>
    <row r="131" spans="1:4" x14ac:dyDescent="0.25">
      <c r="A131" s="72"/>
      <c r="B131" s="72"/>
      <c r="C131" s="72"/>
      <c r="D131" s="72"/>
    </row>
    <row r="132" spans="1:4" x14ac:dyDescent="0.25">
      <c r="A132" s="72"/>
      <c r="B132" s="72"/>
      <c r="C132" s="72"/>
      <c r="D132" s="72"/>
    </row>
    <row r="133" spans="1:4" x14ac:dyDescent="0.25">
      <c r="A133" s="72"/>
      <c r="B133" s="72"/>
      <c r="C133" s="72"/>
      <c r="D133" s="72"/>
    </row>
    <row r="134" spans="1:4" x14ac:dyDescent="0.25">
      <c r="A134" s="72"/>
      <c r="B134" s="72"/>
      <c r="C134" s="72"/>
      <c r="D134" s="72"/>
    </row>
    <row r="135" spans="1:4" x14ac:dyDescent="0.25">
      <c r="A135" s="72"/>
      <c r="B135" s="72"/>
      <c r="C135" s="72"/>
      <c r="D135" s="72"/>
    </row>
    <row r="136" spans="1:4" x14ac:dyDescent="0.25">
      <c r="A136" s="72"/>
      <c r="B136" s="72"/>
      <c r="C136" s="72"/>
      <c r="D136" s="72"/>
    </row>
    <row r="137" spans="1:4" x14ac:dyDescent="0.25">
      <c r="A137" s="72"/>
      <c r="B137" s="72"/>
      <c r="C137" s="72"/>
      <c r="D137" s="72"/>
    </row>
    <row r="138" spans="1:4" x14ac:dyDescent="0.25">
      <c r="A138" s="72"/>
      <c r="B138" s="72"/>
      <c r="C138" s="72"/>
      <c r="D138" s="72"/>
    </row>
  </sheetData>
  <mergeCells count="11">
    <mergeCell ref="N2:Q10"/>
    <mergeCell ref="E27:H27"/>
    <mergeCell ref="I34:K34"/>
    <mergeCell ref="I1:K1"/>
    <mergeCell ref="I12:K12"/>
    <mergeCell ref="E9:H9"/>
    <mergeCell ref="E11:H11"/>
    <mergeCell ref="E13:F13"/>
    <mergeCell ref="G13:H13"/>
    <mergeCell ref="E14:F14"/>
    <mergeCell ref="G14:H14"/>
  </mergeCells>
  <conditionalFormatting sqref="L2:L1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5:L4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{6F1797BD-F7AD-4A6C-9AB8-4C1867B82487}</x14:id>
        </ext>
      </extLst>
    </cfRule>
  </conditionalFormatting>
  <conditionalFormatting sqref="L13:L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32 M2:M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1797BD-F7AD-4A6C-9AB8-4C1867B824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L35:L45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48576"/>
  <sheetViews>
    <sheetView zoomScaleNormal="100" workbookViewId="0">
      <selection activeCell="D16" sqref="D16"/>
    </sheetView>
  </sheetViews>
  <sheetFormatPr defaultRowHeight="15" x14ac:dyDescent="0.25"/>
  <cols>
    <col min="1" max="1" width="22.7109375" style="2" customWidth="1"/>
    <col min="2" max="3" width="9.140625" style="2"/>
    <col min="4" max="4" width="18" style="2" customWidth="1"/>
    <col min="5" max="5" width="9.140625" style="2"/>
    <col min="6" max="6" width="9.7109375" style="2" customWidth="1"/>
    <col min="7" max="16384" width="9.140625" style="2"/>
  </cols>
  <sheetData>
    <row r="1" spans="1:25" x14ac:dyDescent="0.25">
      <c r="A1" s="190" t="s">
        <v>32</v>
      </c>
      <c r="B1" s="191"/>
      <c r="C1" s="82">
        <v>0</v>
      </c>
      <c r="D1" s="192" t="s">
        <v>36</v>
      </c>
      <c r="E1" s="193"/>
      <c r="F1" s="83">
        <f>(C1+F7-C7)</f>
        <v>0</v>
      </c>
      <c r="W1" s="44"/>
      <c r="X1" s="44"/>
      <c r="Y1" s="44"/>
    </row>
    <row r="2" spans="1:25" ht="15.75" thickBot="1" x14ac:dyDescent="0.3">
      <c r="A2" s="194" t="s">
        <v>35</v>
      </c>
      <c r="B2" s="195"/>
      <c r="C2" s="84">
        <f>C1-C8+F8</f>
        <v>0</v>
      </c>
      <c r="D2" s="196" t="s">
        <v>69</v>
      </c>
      <c r="E2" s="197"/>
      <c r="F2" s="85">
        <f>F16-E16</f>
        <v>0</v>
      </c>
      <c r="W2" s="44"/>
      <c r="X2" s="44"/>
      <c r="Y2" s="44"/>
    </row>
    <row r="3" spans="1:25" ht="15" customHeight="1" x14ac:dyDescent="0.25">
      <c r="A3" s="198" t="s">
        <v>79</v>
      </c>
      <c r="B3" s="199"/>
      <c r="C3" s="199"/>
      <c r="D3" s="199"/>
      <c r="E3" s="200"/>
      <c r="F3" s="185">
        <f>0/30*100</f>
        <v>0</v>
      </c>
      <c r="W3" s="44"/>
      <c r="X3" s="44"/>
      <c r="Y3" s="44"/>
    </row>
    <row r="4" spans="1:25" ht="15" customHeight="1" x14ac:dyDescent="0.25">
      <c r="A4" s="198"/>
      <c r="B4" s="199"/>
      <c r="C4" s="199"/>
      <c r="D4" s="199"/>
      <c r="E4" s="200"/>
      <c r="F4" s="185"/>
      <c r="W4" s="44"/>
      <c r="X4" s="44"/>
      <c r="Y4" s="44"/>
    </row>
    <row r="5" spans="1:25" ht="15" customHeight="1" x14ac:dyDescent="0.25">
      <c r="A5" s="201"/>
      <c r="B5" s="202"/>
      <c r="C5" s="202"/>
      <c r="D5" s="202"/>
      <c r="E5" s="203"/>
      <c r="F5" s="186"/>
      <c r="W5" s="44"/>
      <c r="X5" s="44"/>
      <c r="Y5" s="44"/>
    </row>
    <row r="6" spans="1:25" x14ac:dyDescent="0.25">
      <c r="A6" s="187" t="s">
        <v>30</v>
      </c>
      <c r="B6" s="188"/>
      <c r="C6" s="188"/>
      <c r="D6" s="188" t="s">
        <v>31</v>
      </c>
      <c r="E6" s="188"/>
      <c r="F6" s="189"/>
      <c r="W6" s="44"/>
      <c r="X6" s="44"/>
      <c r="Y6" s="44"/>
    </row>
    <row r="7" spans="1:25" x14ac:dyDescent="0.25">
      <c r="A7" s="50" t="s">
        <v>33</v>
      </c>
      <c r="B7" s="44"/>
      <c r="C7" s="41">
        <f>SUM(C12:C25)</f>
        <v>0</v>
      </c>
      <c r="D7" s="44" t="s">
        <v>33</v>
      </c>
      <c r="E7" s="44"/>
      <c r="F7" s="47">
        <f>SUM(F12:F25)</f>
        <v>0</v>
      </c>
      <c r="W7" s="44"/>
      <c r="X7" s="44"/>
      <c r="Y7" s="44"/>
    </row>
    <row r="8" spans="1:25" x14ac:dyDescent="0.25">
      <c r="A8" s="51" t="s">
        <v>34</v>
      </c>
      <c r="B8" s="48"/>
      <c r="C8" s="49">
        <f>SUM(B12:B25)</f>
        <v>0</v>
      </c>
      <c r="D8" s="48" t="s">
        <v>34</v>
      </c>
      <c r="E8" s="48"/>
      <c r="F8" s="49">
        <f>SUM(E12:E25)</f>
        <v>0</v>
      </c>
      <c r="W8" s="44"/>
      <c r="X8" s="44"/>
      <c r="Y8" s="44"/>
    </row>
    <row r="9" spans="1:25" x14ac:dyDescent="0.25">
      <c r="A9" s="2" t="s">
        <v>49</v>
      </c>
      <c r="B9" s="86">
        <v>0</v>
      </c>
      <c r="W9" s="44"/>
      <c r="X9" s="44"/>
      <c r="Y9" s="44"/>
    </row>
    <row r="10" spans="1:25" x14ac:dyDescent="0.25">
      <c r="A10" s="187" t="s">
        <v>30</v>
      </c>
      <c r="B10" s="188"/>
      <c r="C10" s="188"/>
      <c r="D10" s="188" t="s">
        <v>31</v>
      </c>
      <c r="E10" s="188"/>
      <c r="F10" s="189"/>
      <c r="W10" s="44"/>
      <c r="X10" s="44"/>
      <c r="Y10" s="44"/>
    </row>
    <row r="11" spans="1:25" ht="15.75" thickBot="1" x14ac:dyDescent="0.3">
      <c r="A11" s="119" t="s">
        <v>28</v>
      </c>
      <c r="B11" s="120" t="s">
        <v>34</v>
      </c>
      <c r="C11" s="121" t="s">
        <v>33</v>
      </c>
      <c r="D11" s="119" t="s">
        <v>28</v>
      </c>
      <c r="E11" s="120" t="s">
        <v>34</v>
      </c>
      <c r="F11" s="121" t="s">
        <v>33</v>
      </c>
      <c r="W11" s="44"/>
      <c r="X11" s="44"/>
      <c r="Y11" s="44"/>
    </row>
    <row r="12" spans="1:25" ht="15.75" thickBot="1" x14ac:dyDescent="0.3">
      <c r="A12" s="123" t="s">
        <v>80</v>
      </c>
      <c r="B12" s="117">
        <v>0</v>
      </c>
      <c r="C12" s="118">
        <v>0</v>
      </c>
      <c r="D12" s="122" t="s">
        <v>72</v>
      </c>
      <c r="E12" s="122">
        <v>0</v>
      </c>
      <c r="F12" s="132">
        <v>0</v>
      </c>
      <c r="W12" s="44"/>
      <c r="X12" s="44"/>
      <c r="Y12" s="44"/>
    </row>
    <row r="13" spans="1:25" ht="15.75" thickBot="1" x14ac:dyDescent="0.3">
      <c r="A13" s="123" t="s">
        <v>73</v>
      </c>
      <c r="B13" s="117">
        <v>0</v>
      </c>
      <c r="C13" s="118">
        <v>0</v>
      </c>
      <c r="D13" s="116" t="s">
        <v>76</v>
      </c>
      <c r="E13" s="122">
        <v>0</v>
      </c>
      <c r="F13" s="132">
        <v>0</v>
      </c>
      <c r="W13" s="44"/>
      <c r="X13" s="44"/>
      <c r="Y13" s="44"/>
    </row>
    <row r="14" spans="1:25" ht="15.75" thickBot="1" x14ac:dyDescent="0.3">
      <c r="A14" s="123" t="s">
        <v>74</v>
      </c>
      <c r="B14" s="117">
        <v>0</v>
      </c>
      <c r="C14" s="118">
        <v>0</v>
      </c>
      <c r="D14" s="116" t="s">
        <v>77</v>
      </c>
      <c r="E14" s="122">
        <v>0</v>
      </c>
      <c r="F14" s="132">
        <v>0</v>
      </c>
      <c r="W14" s="44"/>
      <c r="X14" s="44"/>
      <c r="Y14" s="44"/>
    </row>
    <row r="15" spans="1:25" ht="15.75" thickBot="1" x14ac:dyDescent="0.3">
      <c r="A15" s="123" t="s">
        <v>75</v>
      </c>
      <c r="B15" s="117">
        <v>0</v>
      </c>
      <c r="C15" s="118">
        <v>0</v>
      </c>
      <c r="D15" s="116" t="s">
        <v>78</v>
      </c>
      <c r="E15" s="122">
        <v>0</v>
      </c>
      <c r="F15" s="132">
        <v>0</v>
      </c>
      <c r="W15" s="44"/>
      <c r="X15" s="44"/>
      <c r="Y15" s="44"/>
    </row>
    <row r="16" spans="1:25" ht="15.75" thickBot="1" x14ac:dyDescent="0.3">
      <c r="A16" s="123"/>
      <c r="B16" s="117"/>
      <c r="C16" s="118"/>
      <c r="D16" s="116"/>
      <c r="E16" s="122"/>
      <c r="F16" s="132"/>
      <c r="W16" s="44"/>
      <c r="X16" s="44"/>
      <c r="Y16" s="44"/>
    </row>
    <row r="17" spans="1:25" ht="15.75" thickBot="1" x14ac:dyDescent="0.3">
      <c r="A17" s="123"/>
      <c r="B17" s="117"/>
      <c r="C17" s="118"/>
      <c r="D17" s="116"/>
      <c r="E17" s="122"/>
      <c r="F17" s="132"/>
      <c r="W17" s="44"/>
      <c r="X17" s="44"/>
      <c r="Y17" s="44"/>
    </row>
    <row r="18" spans="1:25" ht="15.75" thickBot="1" x14ac:dyDescent="0.3">
      <c r="A18" s="123"/>
      <c r="B18" s="117"/>
      <c r="C18" s="118"/>
      <c r="D18" s="116"/>
      <c r="E18" s="122"/>
      <c r="F18" s="132"/>
      <c r="W18" s="44"/>
      <c r="X18" s="44"/>
      <c r="Y18" s="44"/>
    </row>
    <row r="19" spans="1:25" ht="15.75" thickBot="1" x14ac:dyDescent="0.3">
      <c r="A19" s="123"/>
      <c r="B19" s="117"/>
      <c r="C19" s="118"/>
      <c r="D19" s="116"/>
      <c r="E19" s="122"/>
      <c r="F19" s="132"/>
      <c r="W19" s="44"/>
      <c r="X19" s="44"/>
      <c r="Y19" s="44"/>
    </row>
    <row r="20" spans="1:25" ht="15.75" thickBot="1" x14ac:dyDescent="0.3">
      <c r="A20" s="123"/>
      <c r="B20" s="117"/>
      <c r="C20" s="118"/>
      <c r="D20" s="116"/>
      <c r="E20" s="122"/>
      <c r="F20" s="132"/>
      <c r="W20" s="44"/>
      <c r="X20" s="44"/>
      <c r="Y20" s="44"/>
    </row>
    <row r="21" spans="1:25" ht="15.75" thickBot="1" x14ac:dyDescent="0.3">
      <c r="A21" s="123"/>
      <c r="B21" s="117"/>
      <c r="C21" s="118"/>
      <c r="D21" s="139"/>
      <c r="E21" s="122"/>
      <c r="F21" s="132"/>
      <c r="W21" s="44"/>
      <c r="X21" s="44"/>
      <c r="Y21" s="44"/>
    </row>
    <row r="22" spans="1:25" ht="15.75" thickBot="1" x14ac:dyDescent="0.3">
      <c r="A22" s="123"/>
      <c r="B22" s="117"/>
      <c r="C22" s="118"/>
      <c r="D22" s="40"/>
      <c r="E22" s="122"/>
      <c r="F22" s="132"/>
      <c r="W22" s="44"/>
      <c r="X22" s="44"/>
      <c r="Y22" s="44"/>
    </row>
    <row r="23" spans="1:25" ht="15.75" thickBot="1" x14ac:dyDescent="0.3">
      <c r="A23" s="123"/>
      <c r="B23" s="117"/>
      <c r="C23" s="118"/>
      <c r="D23" s="40"/>
      <c r="E23" s="122"/>
      <c r="F23" s="132"/>
      <c r="W23" s="44"/>
      <c r="X23" s="44"/>
      <c r="Y23" s="44"/>
    </row>
    <row r="24" spans="1:25" ht="15.75" thickBot="1" x14ac:dyDescent="0.3">
      <c r="A24" s="123"/>
      <c r="B24" s="117"/>
      <c r="C24" s="118"/>
      <c r="D24" s="115"/>
      <c r="E24" s="122"/>
      <c r="F24" s="132"/>
      <c r="W24" s="44"/>
      <c r="X24" s="44"/>
      <c r="Y24" s="44"/>
    </row>
    <row r="25" spans="1:25" ht="15.75" thickBot="1" x14ac:dyDescent="0.3">
      <c r="A25" s="123"/>
      <c r="B25" s="117"/>
      <c r="C25" s="118"/>
      <c r="D25" s="124"/>
      <c r="E25" s="122"/>
      <c r="F25" s="132"/>
      <c r="W25" s="44"/>
      <c r="X25" s="44"/>
      <c r="Y25" s="44"/>
    </row>
    <row r="26" spans="1:25" ht="15.75" thickBot="1" x14ac:dyDescent="0.3">
      <c r="A26" s="123"/>
      <c r="B26" s="117"/>
      <c r="C26" s="118"/>
      <c r="E26" s="122"/>
      <c r="F26" s="132"/>
    </row>
    <row r="27" spans="1:25" x14ac:dyDescent="0.25">
      <c r="A27" s="62"/>
      <c r="B27" s="117"/>
      <c r="C27" s="118"/>
      <c r="D27" s="62"/>
      <c r="E27" s="122"/>
      <c r="F27" s="132"/>
    </row>
    <row r="1048576" spans="2:2" x14ac:dyDescent="0.25">
      <c r="B1048576" s="46"/>
    </row>
  </sheetData>
  <mergeCells count="10">
    <mergeCell ref="A1:B1"/>
    <mergeCell ref="D1:E1"/>
    <mergeCell ref="A2:B2"/>
    <mergeCell ref="D2:E2"/>
    <mergeCell ref="A3:E5"/>
    <mergeCell ref="F3:F5"/>
    <mergeCell ref="A6:C6"/>
    <mergeCell ref="D6:F6"/>
    <mergeCell ref="A10:C10"/>
    <mergeCell ref="D10:F10"/>
  </mergeCells>
  <conditionalFormatting sqref="F1:F2 C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{2C9EC1CF-A615-4C9D-935E-DA67DFAE15AA}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9EC1CF-A615-4C9D-935E-DA67DFAE15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F1:F2 C2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1"/>
  <sheetViews>
    <sheetView zoomScaleNormal="100" workbookViewId="0">
      <selection activeCell="H17" sqref="H17"/>
    </sheetView>
  </sheetViews>
  <sheetFormatPr defaultRowHeight="15" x14ac:dyDescent="0.25"/>
  <cols>
    <col min="1" max="11" width="9.140625" style="2"/>
    <col min="12" max="12" width="12" style="2" bestFit="1" customWidth="1"/>
    <col min="13" max="16384" width="9.140625" style="2"/>
  </cols>
  <sheetData>
    <row r="1" spans="1:21" x14ac:dyDescent="0.25">
      <c r="A1" s="212" t="s">
        <v>66</v>
      </c>
      <c r="B1" s="212"/>
      <c r="C1" s="212"/>
      <c r="D1" s="212"/>
      <c r="E1" s="212"/>
      <c r="F1" s="212"/>
      <c r="G1" s="212"/>
      <c r="H1" s="212"/>
      <c r="I1" s="212"/>
      <c r="J1" s="212"/>
      <c r="K1" s="212"/>
      <c r="L1" s="212"/>
      <c r="M1" s="106"/>
      <c r="N1" s="106"/>
      <c r="O1" s="106"/>
      <c r="P1" s="106"/>
      <c r="Q1" s="106"/>
      <c r="R1" s="106"/>
      <c r="S1" s="106"/>
      <c r="T1" s="106"/>
      <c r="U1" s="3"/>
    </row>
    <row r="2" spans="1:21" x14ac:dyDescent="0.25">
      <c r="A2" s="213"/>
      <c r="B2" s="213"/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107"/>
      <c r="N2" s="107"/>
      <c r="O2" s="107"/>
      <c r="P2" s="107"/>
      <c r="Q2" s="107"/>
      <c r="R2" s="107"/>
      <c r="S2" s="107"/>
      <c r="T2" s="107"/>
      <c r="U2" s="3"/>
    </row>
    <row r="3" spans="1:21" ht="15.75" thickBot="1" x14ac:dyDescent="0.3">
      <c r="A3" s="213"/>
      <c r="B3" s="213"/>
      <c r="C3" s="213"/>
      <c r="D3" s="213"/>
      <c r="E3" s="213"/>
      <c r="F3" s="213"/>
      <c r="G3" s="213"/>
      <c r="H3" s="213"/>
      <c r="I3" s="213"/>
      <c r="J3" s="213"/>
      <c r="K3" s="213"/>
      <c r="L3" s="213"/>
      <c r="M3" s="107"/>
      <c r="N3" s="107"/>
      <c r="O3" s="107"/>
      <c r="P3" s="107"/>
      <c r="Q3" s="107"/>
      <c r="R3" s="107"/>
      <c r="S3" s="107"/>
      <c r="T3" s="107"/>
      <c r="U3" s="3"/>
    </row>
    <row r="4" spans="1:21" ht="15" customHeight="1" x14ac:dyDescent="0.25">
      <c r="A4" s="216" t="s">
        <v>42</v>
      </c>
      <c r="B4" s="217"/>
      <c r="C4" s="218"/>
      <c r="D4" s="80"/>
      <c r="E4" s="81"/>
      <c r="F4" s="223" t="s">
        <v>67</v>
      </c>
      <c r="G4" s="224"/>
      <c r="H4" s="224"/>
      <c r="I4" s="220" t="s">
        <v>55</v>
      </c>
      <c r="J4" s="221"/>
      <c r="K4" s="221"/>
      <c r="L4" s="222"/>
      <c r="M4" s="108"/>
      <c r="N4" s="108"/>
      <c r="O4" s="108"/>
      <c r="P4" s="108"/>
      <c r="Q4" s="108"/>
      <c r="R4" s="108"/>
      <c r="S4" s="68"/>
      <c r="T4" s="3"/>
      <c r="U4" s="3"/>
    </row>
    <row r="5" spans="1:21" ht="15" customHeight="1" x14ac:dyDescent="0.25">
      <c r="A5" s="210"/>
      <c r="B5" s="211"/>
      <c r="C5" s="219"/>
      <c r="D5" s="3"/>
      <c r="E5" s="14"/>
      <c r="F5" s="225"/>
      <c r="G5" s="226"/>
      <c r="H5" s="226"/>
      <c r="I5" s="129" t="s">
        <v>35</v>
      </c>
      <c r="J5" s="146"/>
      <c r="K5" s="146"/>
      <c r="L5" s="148">
        <f>Tally!E14</f>
        <v>0</v>
      </c>
      <c r="M5" s="64"/>
      <c r="N5" s="64"/>
      <c r="O5" s="64"/>
      <c r="P5" s="64"/>
      <c r="Q5" s="64"/>
      <c r="R5" s="64"/>
      <c r="S5" s="65"/>
      <c r="T5" s="3"/>
      <c r="U5" s="3"/>
    </row>
    <row r="6" spans="1:21" ht="15" customHeight="1" x14ac:dyDescent="0.25">
      <c r="A6" s="208" t="s">
        <v>50</v>
      </c>
      <c r="B6" s="209"/>
      <c r="C6" s="209"/>
      <c r="D6" s="3"/>
      <c r="E6" s="14"/>
      <c r="F6" s="225"/>
      <c r="G6" s="226"/>
      <c r="H6" s="226"/>
      <c r="I6" s="147" t="s">
        <v>43</v>
      </c>
      <c r="J6" s="131"/>
      <c r="K6" s="131"/>
      <c r="L6" s="149">
        <v>0</v>
      </c>
      <c r="M6" s="64"/>
      <c r="N6" s="64"/>
      <c r="O6" s="64"/>
      <c r="P6" s="64"/>
      <c r="Q6" s="64"/>
      <c r="R6" s="64"/>
      <c r="S6" s="65"/>
      <c r="T6" s="3"/>
      <c r="U6" s="3"/>
    </row>
    <row r="7" spans="1:21" ht="15" customHeight="1" x14ac:dyDescent="0.25">
      <c r="A7" s="214"/>
      <c r="B7" s="215"/>
      <c r="C7" s="215"/>
      <c r="D7" s="3"/>
      <c r="E7" s="14"/>
      <c r="F7" s="225"/>
      <c r="G7" s="226"/>
      <c r="H7" s="226"/>
      <c r="I7" s="147" t="s">
        <v>44</v>
      </c>
      <c r="J7" s="131"/>
      <c r="K7" s="131"/>
      <c r="L7" s="148">
        <f>L5+L6</f>
        <v>0</v>
      </c>
      <c r="M7" s="64"/>
      <c r="N7" s="64"/>
      <c r="O7" s="64"/>
      <c r="P7" s="64"/>
      <c r="Q7" s="64"/>
      <c r="R7" s="64"/>
      <c r="S7" s="65"/>
      <c r="T7" s="3"/>
      <c r="U7" s="3"/>
    </row>
    <row r="8" spans="1:21" ht="15" customHeight="1" x14ac:dyDescent="0.25">
      <c r="A8" s="208" t="s">
        <v>51</v>
      </c>
      <c r="B8" s="209"/>
      <c r="C8" s="209"/>
      <c r="D8" s="3"/>
      <c r="E8" s="14"/>
      <c r="F8" s="225"/>
      <c r="G8" s="226"/>
      <c r="H8" s="226"/>
      <c r="I8" s="110"/>
      <c r="J8" s="3"/>
      <c r="K8" s="3"/>
      <c r="L8" s="87"/>
      <c r="M8" s="64"/>
      <c r="N8" s="64"/>
      <c r="O8" s="64"/>
      <c r="P8" s="64"/>
      <c r="Q8" s="64"/>
      <c r="R8" s="64"/>
      <c r="S8" s="65"/>
      <c r="T8" s="3"/>
      <c r="U8" s="3"/>
    </row>
    <row r="9" spans="1:21" ht="15" customHeight="1" x14ac:dyDescent="0.25">
      <c r="A9" s="214"/>
      <c r="B9" s="215"/>
      <c r="C9" s="215"/>
      <c r="D9" s="3"/>
      <c r="E9" s="14"/>
      <c r="F9" s="225"/>
      <c r="G9" s="226"/>
      <c r="H9" s="226"/>
      <c r="I9" s="147" t="s">
        <v>52</v>
      </c>
      <c r="J9" s="131"/>
      <c r="K9" s="131"/>
      <c r="L9" s="150">
        <v>0</v>
      </c>
      <c r="M9" s="64"/>
      <c r="N9" s="64"/>
      <c r="O9" s="64"/>
      <c r="P9" s="64"/>
      <c r="Q9" s="64"/>
      <c r="R9" s="64"/>
      <c r="S9" s="65"/>
      <c r="T9" s="3"/>
      <c r="U9" s="3"/>
    </row>
    <row r="10" spans="1:21" ht="15" customHeight="1" x14ac:dyDescent="0.25">
      <c r="A10" s="208" t="s">
        <v>65</v>
      </c>
      <c r="B10" s="209"/>
      <c r="C10" s="209"/>
      <c r="D10" s="3"/>
      <c r="E10" s="14"/>
      <c r="F10" s="225"/>
      <c r="G10" s="226"/>
      <c r="H10" s="226"/>
      <c r="I10" s="147" t="s">
        <v>53</v>
      </c>
      <c r="J10" s="131"/>
      <c r="K10" s="131"/>
      <c r="L10" s="151">
        <v>0</v>
      </c>
      <c r="M10" s="64"/>
      <c r="N10" s="64"/>
      <c r="O10" s="64"/>
      <c r="P10" s="64"/>
      <c r="Q10" s="64"/>
      <c r="R10" s="64"/>
      <c r="S10" s="65"/>
      <c r="T10" s="3"/>
      <c r="U10" s="3"/>
    </row>
    <row r="11" spans="1:21" ht="15" customHeight="1" x14ac:dyDescent="0.25">
      <c r="A11" s="210"/>
      <c r="B11" s="211"/>
      <c r="C11" s="211"/>
      <c r="D11" s="62"/>
      <c r="E11" s="63"/>
      <c r="F11" s="225"/>
      <c r="G11" s="226"/>
      <c r="H11" s="226"/>
      <c r="I11" s="147" t="s">
        <v>54</v>
      </c>
      <c r="J11" s="131"/>
      <c r="K11" s="131"/>
      <c r="L11" s="149">
        <v>0</v>
      </c>
      <c r="M11" s="64"/>
      <c r="N11" s="64"/>
      <c r="O11" s="64"/>
      <c r="P11" s="64"/>
      <c r="Q11" s="64"/>
      <c r="R11" s="64"/>
      <c r="S11" s="65"/>
      <c r="T11" s="3"/>
      <c r="U11" s="3"/>
    </row>
    <row r="12" spans="1:21" ht="15" customHeight="1" x14ac:dyDescent="0.25">
      <c r="A12" s="208" t="s">
        <v>64</v>
      </c>
      <c r="B12" s="209"/>
      <c r="C12" s="209"/>
      <c r="D12" s="3"/>
      <c r="E12" s="14"/>
      <c r="F12" s="225"/>
      <c r="G12" s="226"/>
      <c r="H12" s="226"/>
      <c r="I12" s="109"/>
      <c r="J12" s="3"/>
      <c r="K12" s="3"/>
      <c r="L12" s="140"/>
      <c r="M12" s="64"/>
      <c r="N12" s="64"/>
      <c r="O12" s="64"/>
      <c r="P12" s="64"/>
      <c r="Q12" s="64"/>
      <c r="R12" s="64"/>
      <c r="S12" s="65"/>
      <c r="T12" s="3"/>
      <c r="U12" s="3"/>
    </row>
    <row r="13" spans="1:21" ht="15" customHeight="1" x14ac:dyDescent="0.25">
      <c r="A13" s="210"/>
      <c r="B13" s="211"/>
      <c r="C13" s="211"/>
      <c r="D13" s="62"/>
      <c r="E13" s="63"/>
      <c r="F13" s="225"/>
      <c r="G13" s="226"/>
      <c r="H13" s="226"/>
      <c r="I13" s="109"/>
      <c r="J13" s="3"/>
      <c r="K13" s="3"/>
      <c r="L13" s="88"/>
      <c r="M13" s="64"/>
      <c r="N13" s="64"/>
      <c r="O13" s="64"/>
      <c r="P13" s="64"/>
      <c r="Q13" s="64"/>
      <c r="R13" s="64"/>
      <c r="S13" s="65"/>
      <c r="T13" s="3"/>
      <c r="U13" s="3"/>
    </row>
    <row r="14" spans="1:21" ht="15" customHeight="1" x14ac:dyDescent="0.25">
      <c r="A14" s="208" t="s">
        <v>46</v>
      </c>
      <c r="B14" s="209"/>
      <c r="C14" s="209"/>
      <c r="D14" s="3"/>
      <c r="E14" s="14"/>
      <c r="F14" s="225"/>
      <c r="G14" s="226"/>
      <c r="H14" s="226"/>
      <c r="I14" s="109"/>
      <c r="J14" s="3"/>
      <c r="K14" s="3"/>
      <c r="L14" s="141"/>
      <c r="M14" s="64"/>
      <c r="N14" s="64"/>
      <c r="O14" s="64"/>
      <c r="P14" s="64"/>
      <c r="Q14" s="64"/>
      <c r="R14" s="64"/>
      <c r="S14" s="65"/>
      <c r="T14" s="3"/>
      <c r="U14" s="3"/>
    </row>
    <row r="15" spans="1:21" ht="15.75" customHeight="1" x14ac:dyDescent="0.25">
      <c r="A15" s="214"/>
      <c r="B15" s="215"/>
      <c r="C15" s="215"/>
      <c r="D15" s="3"/>
      <c r="E15" s="14"/>
      <c r="F15" s="225"/>
      <c r="G15" s="226"/>
      <c r="H15" s="226"/>
      <c r="I15" s="109"/>
      <c r="J15" s="3"/>
      <c r="K15" s="3"/>
      <c r="L15" s="142"/>
      <c r="M15" s="64"/>
      <c r="N15" s="64"/>
      <c r="O15" s="64"/>
      <c r="P15" s="64"/>
      <c r="Q15" s="64"/>
      <c r="R15" s="64"/>
      <c r="S15" s="65"/>
      <c r="T15" s="3"/>
      <c r="U15" s="3"/>
    </row>
    <row r="16" spans="1:21" x14ac:dyDescent="0.25">
      <c r="A16" s="112"/>
      <c r="B16" s="113"/>
      <c r="C16" s="113"/>
      <c r="D16" s="113"/>
      <c r="E16" s="113"/>
      <c r="F16" s="113"/>
      <c r="G16" s="113"/>
      <c r="H16" s="114"/>
      <c r="I16" s="147" t="s">
        <v>45</v>
      </c>
      <c r="J16" s="131"/>
      <c r="K16" s="131"/>
      <c r="L16" s="152">
        <f>L7+L11</f>
        <v>0</v>
      </c>
      <c r="M16" s="64"/>
      <c r="N16" s="64"/>
      <c r="O16" s="64"/>
      <c r="P16" s="64"/>
      <c r="Q16" s="64"/>
      <c r="R16" s="64"/>
      <c r="S16" s="65"/>
      <c r="T16" s="3"/>
      <c r="U16" s="3"/>
    </row>
    <row r="17" spans="1:21" ht="15.75" thickBot="1" x14ac:dyDescent="0.3">
      <c r="A17" s="110"/>
      <c r="B17" s="3"/>
      <c r="C17" s="3"/>
      <c r="D17" s="3"/>
      <c r="E17" s="3"/>
      <c r="F17" s="3"/>
      <c r="G17" s="3"/>
      <c r="H17" s="14"/>
      <c r="I17" s="13"/>
      <c r="J17" s="62"/>
      <c r="K17" s="62"/>
      <c r="L17" s="111"/>
      <c r="M17" s="64"/>
      <c r="N17" s="64"/>
      <c r="O17" s="64"/>
      <c r="P17" s="64"/>
      <c r="Q17" s="64"/>
      <c r="R17" s="64"/>
      <c r="S17" s="65"/>
      <c r="T17" s="3"/>
      <c r="U17" s="3"/>
    </row>
    <row r="18" spans="1:21" ht="15" customHeight="1" thickBot="1" x14ac:dyDescent="0.3">
      <c r="A18" s="227" t="s">
        <v>59</v>
      </c>
      <c r="B18" s="228"/>
      <c r="C18" s="228"/>
      <c r="D18" s="228"/>
      <c r="E18" s="228"/>
      <c r="F18" s="228"/>
      <c r="G18" s="228"/>
      <c r="H18" s="229"/>
      <c r="I18" s="168" t="s">
        <v>48</v>
      </c>
      <c r="J18" s="168"/>
      <c r="K18" s="168"/>
      <c r="L18" s="169"/>
      <c r="M18" s="64"/>
      <c r="N18" s="64"/>
      <c r="O18" s="64"/>
      <c r="P18" s="64"/>
      <c r="Q18" s="64"/>
      <c r="R18" s="64"/>
      <c r="S18" s="65"/>
      <c r="T18" s="3"/>
      <c r="U18" s="3"/>
    </row>
    <row r="19" spans="1:21" ht="15" customHeight="1" x14ac:dyDescent="0.25">
      <c r="A19" s="143" t="s">
        <v>56</v>
      </c>
      <c r="B19" s="134" t="e">
        <f>(L6/L9)</f>
        <v>#DIV/0!</v>
      </c>
      <c r="C19" s="143" t="s">
        <v>60</v>
      </c>
      <c r="D19" s="144" t="e">
        <f>L10/L6</f>
        <v>#DIV/0!</v>
      </c>
      <c r="E19" s="135" t="s">
        <v>68</v>
      </c>
      <c r="F19" s="134" t="e">
        <f>Tally!L37+Tally!L45</f>
        <v>#DIV/0!</v>
      </c>
      <c r="G19" s="145"/>
      <c r="H19" s="14"/>
      <c r="I19" s="204"/>
      <c r="J19" s="168"/>
      <c r="K19" s="168"/>
      <c r="L19" s="169"/>
      <c r="M19" s="64"/>
      <c r="N19" s="64"/>
      <c r="O19" s="64"/>
      <c r="P19" s="64"/>
      <c r="Q19" s="64"/>
      <c r="R19" s="64"/>
      <c r="S19" s="65"/>
      <c r="T19" s="3"/>
      <c r="U19" s="3"/>
    </row>
    <row r="20" spans="1:21" ht="15" customHeight="1" x14ac:dyDescent="0.25">
      <c r="A20" s="129" t="s">
        <v>62</v>
      </c>
      <c r="B20" s="138" t="e">
        <f>L7/L5</f>
        <v>#DIV/0!</v>
      </c>
      <c r="C20" s="129"/>
      <c r="D20" s="137"/>
      <c r="E20" s="135"/>
      <c r="F20" s="134"/>
      <c r="G20" s="96"/>
      <c r="H20" s="125"/>
      <c r="I20" s="204"/>
      <c r="J20" s="168"/>
      <c r="K20" s="168"/>
      <c r="L20" s="169"/>
      <c r="M20" s="64"/>
      <c r="N20" s="64"/>
      <c r="O20" s="64"/>
      <c r="P20" s="64"/>
      <c r="Q20" s="64"/>
      <c r="R20" s="64"/>
      <c r="S20" s="65"/>
      <c r="T20" s="3"/>
      <c r="U20" s="3"/>
    </row>
    <row r="21" spans="1:21" ht="15" customHeight="1" x14ac:dyDescent="0.25">
      <c r="A21" s="129" t="s">
        <v>58</v>
      </c>
      <c r="B21" s="133" t="e">
        <f>(L10/L9)</f>
        <v>#DIV/0!</v>
      </c>
      <c r="C21" s="129"/>
      <c r="D21" s="136"/>
      <c r="E21" s="135"/>
      <c r="F21" s="134"/>
      <c r="G21" s="95"/>
      <c r="H21" s="126"/>
      <c r="I21" s="204"/>
      <c r="J21" s="168"/>
      <c r="K21" s="168"/>
      <c r="L21" s="169"/>
      <c r="M21" s="64"/>
      <c r="N21" s="64"/>
      <c r="O21" s="64"/>
      <c r="P21" s="64"/>
      <c r="Q21" s="64"/>
      <c r="R21" s="64"/>
      <c r="S21" s="65"/>
      <c r="T21" s="3"/>
      <c r="U21" s="3"/>
    </row>
    <row r="22" spans="1:21" ht="15" customHeight="1" x14ac:dyDescent="0.25">
      <c r="A22" s="130"/>
      <c r="B22" s="131"/>
      <c r="C22" s="130"/>
      <c r="D22" s="131"/>
      <c r="E22" s="130"/>
      <c r="F22" s="131"/>
      <c r="G22" s="3"/>
      <c r="H22" s="14"/>
      <c r="I22" s="204"/>
      <c r="J22" s="168"/>
      <c r="K22" s="168"/>
      <c r="L22" s="169"/>
      <c r="M22" s="64"/>
      <c r="N22" s="64"/>
      <c r="O22" s="64"/>
      <c r="P22" s="64"/>
      <c r="Q22" s="64"/>
      <c r="R22" s="64"/>
      <c r="S22" s="65"/>
      <c r="T22" s="3"/>
      <c r="U22" s="3"/>
    </row>
    <row r="23" spans="1:21" ht="15" customHeight="1" x14ac:dyDescent="0.25">
      <c r="A23" s="130"/>
      <c r="B23" s="131"/>
      <c r="C23" s="130"/>
      <c r="D23" s="131"/>
      <c r="E23" s="130"/>
      <c r="F23" s="131"/>
      <c r="G23" s="3"/>
      <c r="H23" s="14"/>
      <c r="I23" s="204"/>
      <c r="J23" s="168"/>
      <c r="K23" s="168"/>
      <c r="L23" s="169"/>
      <c r="M23" s="64"/>
      <c r="N23" s="64"/>
      <c r="O23" s="64"/>
      <c r="P23" s="64"/>
      <c r="Q23" s="64"/>
      <c r="R23" s="64"/>
      <c r="S23" s="65"/>
      <c r="T23" s="3"/>
      <c r="U23" s="3"/>
    </row>
    <row r="24" spans="1:21" ht="15" customHeight="1" x14ac:dyDescent="0.25">
      <c r="A24" s="130"/>
      <c r="B24" s="131"/>
      <c r="C24" s="130"/>
      <c r="D24" s="131"/>
      <c r="E24" s="130"/>
      <c r="F24" s="131"/>
      <c r="G24" s="3"/>
      <c r="H24" s="14"/>
      <c r="I24" s="204"/>
      <c r="J24" s="168"/>
      <c r="K24" s="168"/>
      <c r="L24" s="169"/>
      <c r="M24" s="64"/>
      <c r="N24" s="64"/>
      <c r="O24" s="64"/>
      <c r="P24" s="64"/>
      <c r="Q24" s="64"/>
      <c r="R24" s="64"/>
      <c r="S24" s="65"/>
      <c r="T24" s="3"/>
      <c r="U24" s="3"/>
    </row>
    <row r="25" spans="1:21" ht="15" customHeight="1" x14ac:dyDescent="0.25">
      <c r="A25" s="130"/>
      <c r="B25" s="131"/>
      <c r="C25" s="130"/>
      <c r="D25" s="131"/>
      <c r="E25" s="130"/>
      <c r="F25" s="131"/>
      <c r="G25" s="3"/>
      <c r="H25" s="14"/>
      <c r="I25" s="204"/>
      <c r="J25" s="168"/>
      <c r="K25" s="168"/>
      <c r="L25" s="169"/>
      <c r="M25" s="64"/>
      <c r="N25" s="64"/>
      <c r="O25" s="64"/>
      <c r="P25" s="64"/>
      <c r="Q25" s="64"/>
      <c r="R25" s="64"/>
      <c r="S25" s="65"/>
      <c r="T25" s="3"/>
      <c r="U25" s="3"/>
    </row>
    <row r="26" spans="1:21" ht="15.75" customHeight="1" x14ac:dyDescent="0.45">
      <c r="A26" s="230" t="s">
        <v>57</v>
      </c>
      <c r="B26" s="231"/>
      <c r="C26" s="230" t="s">
        <v>61</v>
      </c>
      <c r="D26" s="231"/>
      <c r="E26" s="230" t="s">
        <v>63</v>
      </c>
      <c r="F26" s="231"/>
      <c r="G26" s="127"/>
      <c r="H26" s="128"/>
      <c r="I26" s="205"/>
      <c r="J26" s="206"/>
      <c r="K26" s="206"/>
      <c r="L26" s="207"/>
      <c r="M26" s="66"/>
      <c r="N26" s="66"/>
      <c r="O26" s="66"/>
      <c r="P26" s="66"/>
      <c r="Q26" s="66"/>
      <c r="R26" s="66"/>
      <c r="S26" s="67"/>
      <c r="T26" s="3"/>
      <c r="U26" s="3"/>
    </row>
    <row r="27" spans="1:21" ht="15" customHeight="1" x14ac:dyDescent="0.25">
      <c r="E27" s="3"/>
      <c r="I27" s="3"/>
      <c r="J27" s="3"/>
      <c r="K27" s="3"/>
      <c r="M27" s="3"/>
      <c r="N27" s="3"/>
      <c r="O27" s="3"/>
      <c r="P27" s="3"/>
      <c r="Q27" s="3"/>
      <c r="R27" s="3"/>
      <c r="S27" s="3"/>
      <c r="U27" s="3"/>
    </row>
    <row r="28" spans="1:21" ht="15" customHeight="1" x14ac:dyDescent="0.25"/>
    <row r="29" spans="1:21" ht="15.75" customHeight="1" x14ac:dyDescent="0.25"/>
    <row r="30" spans="1:21" ht="15" customHeight="1" x14ac:dyDescent="0.25"/>
    <row r="31" spans="1:21" ht="15" customHeight="1" x14ac:dyDescent="0.25"/>
  </sheetData>
  <mergeCells count="14">
    <mergeCell ref="I18:L26"/>
    <mergeCell ref="A10:C11"/>
    <mergeCell ref="A12:C13"/>
    <mergeCell ref="A1:L3"/>
    <mergeCell ref="A6:C7"/>
    <mergeCell ref="A4:C5"/>
    <mergeCell ref="I4:L4"/>
    <mergeCell ref="A14:C15"/>
    <mergeCell ref="A8:C9"/>
    <mergeCell ref="F4:H15"/>
    <mergeCell ref="A18:H18"/>
    <mergeCell ref="A26:B26"/>
    <mergeCell ref="C26:D26"/>
    <mergeCell ref="E26:F26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CCBE8527-C57B-4972-85FE-1775FE14889B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G26</xm:sqref>
        </x14:conditionalFormatting>
        <x14:conditionalFormatting xmlns:xm="http://schemas.microsoft.com/office/excel/2006/main">
          <x14:cfRule type="iconSet" priority="3" id="{7D55686B-0619-474C-BA58-71F6E937F1A2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H26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5"/>
  <sheetViews>
    <sheetView tabSelected="1" workbookViewId="0">
      <selection activeCell="J36" sqref="J36"/>
    </sheetView>
  </sheetViews>
  <sheetFormatPr defaultRowHeight="15" x14ac:dyDescent="0.25"/>
  <cols>
    <col min="6" max="6" width="10.7109375" bestFit="1" customWidth="1"/>
    <col min="10" max="10" width="24.140625" customWidth="1"/>
  </cols>
  <sheetData>
    <row r="1" spans="1:10" x14ac:dyDescent="0.25">
      <c r="A1" t="s">
        <v>39</v>
      </c>
      <c r="F1" s="1">
        <f ca="1">TODAY()</f>
        <v>42846</v>
      </c>
      <c r="I1" s="52"/>
      <c r="J1" s="53"/>
    </row>
    <row r="2" spans="1:10" x14ac:dyDescent="0.25">
      <c r="A2" s="56" t="s">
        <v>37</v>
      </c>
      <c r="I2" s="52"/>
      <c r="J2" s="53"/>
    </row>
    <row r="3" spans="1:10" x14ac:dyDescent="0.25">
      <c r="A3" t="str">
        <f>"---ATM---"</f>
        <v>---ATM---</v>
      </c>
      <c r="I3" s="52"/>
      <c r="J3" s="53"/>
    </row>
    <row r="4" spans="1:10" x14ac:dyDescent="0.25">
      <c r="A4" s="4" t="str">
        <f>Tally!I2</f>
        <v xml:space="preserve">Sub-Head </v>
      </c>
      <c r="I4" s="52"/>
      <c r="J4" s="53"/>
    </row>
    <row r="5" spans="1:10" x14ac:dyDescent="0.25">
      <c r="A5" s="4" t="str">
        <f>Tally!I3</f>
        <v xml:space="preserve">Sub-Head </v>
      </c>
      <c r="I5" s="54"/>
      <c r="J5" s="53"/>
    </row>
    <row r="6" spans="1:10" x14ac:dyDescent="0.25">
      <c r="A6" s="4" t="str">
        <f>Tally!I4</f>
        <v xml:space="preserve">Sub-Head </v>
      </c>
      <c r="I6" s="54"/>
      <c r="J6" s="53"/>
    </row>
    <row r="7" spans="1:10" x14ac:dyDescent="0.25">
      <c r="A7" s="4" t="str">
        <f>Tally!I5</f>
        <v xml:space="preserve">Sub-Head </v>
      </c>
      <c r="I7" s="54"/>
      <c r="J7" s="53"/>
    </row>
    <row r="8" spans="1:10" x14ac:dyDescent="0.25">
      <c r="A8" s="4" t="str">
        <f>Tally!I6</f>
        <v xml:space="preserve">Sub-Head </v>
      </c>
      <c r="I8" s="54"/>
      <c r="J8" s="53"/>
    </row>
    <row r="9" spans="1:10" x14ac:dyDescent="0.25">
      <c r="A9" s="4" t="str">
        <f>Tally!I7</f>
        <v xml:space="preserve">Sub-Head </v>
      </c>
      <c r="I9" s="54"/>
      <c r="J9" s="53"/>
    </row>
    <row r="10" spans="1:10" x14ac:dyDescent="0.25">
      <c r="A10" s="4" t="str">
        <f>Tally!I8</f>
        <v xml:space="preserve">Sub-Head </v>
      </c>
      <c r="I10" s="54"/>
      <c r="J10" s="54"/>
    </row>
    <row r="11" spans="1:10" x14ac:dyDescent="0.25">
      <c r="A11" s="4" t="str">
        <f>Tally!I9</f>
        <v xml:space="preserve">Sub-Head </v>
      </c>
      <c r="I11" s="54"/>
      <c r="J11" s="55"/>
    </row>
    <row r="12" spans="1:10" x14ac:dyDescent="0.25">
      <c r="A12" s="4" t="str">
        <f>Tally!I10</f>
        <v xml:space="preserve">Sub-Head </v>
      </c>
      <c r="I12" s="52"/>
      <c r="J12" s="53"/>
    </row>
    <row r="13" spans="1:10" x14ac:dyDescent="0.25">
      <c r="A13" t="str">
        <f>"---POS---"</f>
        <v>---POS---</v>
      </c>
      <c r="I13" s="52"/>
      <c r="J13" s="53"/>
    </row>
    <row r="14" spans="1:10" x14ac:dyDescent="0.25">
      <c r="A14" s="4" t="str">
        <f>Tally!I13</f>
        <v xml:space="preserve">Sub-Head </v>
      </c>
      <c r="I14" s="52"/>
      <c r="J14" s="53"/>
    </row>
    <row r="15" spans="1:10" x14ac:dyDescent="0.25">
      <c r="A15" s="4" t="str">
        <f>Tally!I14</f>
        <v xml:space="preserve">Sub-Head </v>
      </c>
      <c r="I15" s="52"/>
      <c r="J15" s="53"/>
    </row>
    <row r="16" spans="1:10" x14ac:dyDescent="0.25">
      <c r="A16" s="4" t="str">
        <f>Tally!I15</f>
        <v xml:space="preserve">Sub-Head </v>
      </c>
      <c r="I16" s="52"/>
      <c r="J16" s="53"/>
    </row>
    <row r="17" spans="1:10" x14ac:dyDescent="0.25">
      <c r="A17" s="4" t="str">
        <f>Tally!I16</f>
        <v xml:space="preserve">Sub-Head </v>
      </c>
      <c r="I17" s="52"/>
      <c r="J17" s="53"/>
    </row>
    <row r="18" spans="1:10" x14ac:dyDescent="0.25">
      <c r="A18" s="4" t="str">
        <f>Tally!I17</f>
        <v xml:space="preserve">Sub-Head </v>
      </c>
      <c r="I18" s="52"/>
      <c r="J18" s="53"/>
    </row>
    <row r="19" spans="1:10" x14ac:dyDescent="0.25">
      <c r="A19" s="4" t="str">
        <f>Tally!I18</f>
        <v xml:space="preserve">Sub-Head </v>
      </c>
      <c r="I19" s="52"/>
      <c r="J19" s="53"/>
    </row>
    <row r="20" spans="1:10" x14ac:dyDescent="0.25">
      <c r="A20" s="4" t="str">
        <f>Tally!I19</f>
        <v xml:space="preserve">Sub-Head </v>
      </c>
      <c r="I20" s="52"/>
      <c r="J20" s="53"/>
    </row>
    <row r="21" spans="1:10" x14ac:dyDescent="0.25">
      <c r="A21" s="4" t="str">
        <f>Tally!I20</f>
        <v xml:space="preserve">Sub-Head </v>
      </c>
      <c r="I21" s="52"/>
      <c r="J21" s="53"/>
    </row>
    <row r="22" spans="1:10" x14ac:dyDescent="0.25">
      <c r="A22" s="4" t="str">
        <f>Tally!I21</f>
        <v xml:space="preserve">Sub-Head </v>
      </c>
      <c r="I22" s="52"/>
      <c r="J22" s="53"/>
    </row>
    <row r="23" spans="1:10" x14ac:dyDescent="0.25">
      <c r="A23" s="4" t="str">
        <f>Tally!I22</f>
        <v xml:space="preserve">Sub-Head </v>
      </c>
      <c r="I23" s="52"/>
      <c r="J23" s="53"/>
    </row>
    <row r="24" spans="1:10" x14ac:dyDescent="0.25">
      <c r="A24" s="4" t="str">
        <f>Tally!I23</f>
        <v xml:space="preserve">Sub-Head </v>
      </c>
      <c r="I24" s="52"/>
      <c r="J24" s="53"/>
    </row>
    <row r="25" spans="1:10" x14ac:dyDescent="0.25">
      <c r="A25" s="4" t="str">
        <f>Tally!I24</f>
        <v xml:space="preserve">Sub-Head </v>
      </c>
      <c r="I25" s="52"/>
      <c r="J25" s="53"/>
    </row>
    <row r="26" spans="1:10" x14ac:dyDescent="0.25">
      <c r="A26" s="4" t="str">
        <f>Tally!I25</f>
        <v xml:space="preserve">Sub-Head </v>
      </c>
      <c r="I26" s="52"/>
      <c r="J26" s="53"/>
    </row>
    <row r="27" spans="1:10" x14ac:dyDescent="0.25">
      <c r="A27" s="4" t="str">
        <f>Tally!I26</f>
        <v xml:space="preserve">Sub-Head </v>
      </c>
      <c r="I27" s="52"/>
      <c r="J27" s="53"/>
    </row>
    <row r="28" spans="1:10" x14ac:dyDescent="0.25">
      <c r="A28" s="4" t="str">
        <f>Tally!I27</f>
        <v xml:space="preserve">Sub-Head </v>
      </c>
      <c r="I28" s="52"/>
      <c r="J28" s="53"/>
    </row>
    <row r="29" spans="1:10" x14ac:dyDescent="0.25">
      <c r="A29" s="4" t="str">
        <f>Tally!I28</f>
        <v xml:space="preserve">Sub-Head </v>
      </c>
      <c r="I29" s="54"/>
      <c r="J29" s="54"/>
    </row>
    <row r="30" spans="1:10" x14ac:dyDescent="0.25">
      <c r="A30" s="4" t="str">
        <f>Tally!I29</f>
        <v xml:space="preserve">Sub-Head </v>
      </c>
      <c r="I30" s="54"/>
      <c r="J30" s="54"/>
    </row>
    <row r="31" spans="1:10" x14ac:dyDescent="0.25">
      <c r="A31" s="4" t="str">
        <f>Tally!I30</f>
        <v xml:space="preserve">Sub-Head </v>
      </c>
      <c r="I31" s="52"/>
      <c r="J31" s="53"/>
    </row>
    <row r="32" spans="1:10" x14ac:dyDescent="0.25">
      <c r="A32" s="4" t="str">
        <f>Tally!I31</f>
        <v xml:space="preserve">Sub-Head </v>
      </c>
      <c r="I32" s="52"/>
      <c r="J32" s="53"/>
    </row>
    <row r="33" spans="1:10" x14ac:dyDescent="0.25">
      <c r="A33" s="4" t="str">
        <f>Tally!I32</f>
        <v xml:space="preserve">Sub-Head </v>
      </c>
      <c r="B33" s="4"/>
      <c r="I33" s="52"/>
      <c r="J33" s="53"/>
    </row>
    <row r="34" spans="1:10" x14ac:dyDescent="0.25">
      <c r="A34" t="str">
        <f>"---CASH IN---"</f>
        <v>---CASH IN---</v>
      </c>
      <c r="B34" s="4"/>
      <c r="I34" s="52"/>
      <c r="J34" s="53"/>
    </row>
    <row r="35" spans="1:10" x14ac:dyDescent="0.25">
      <c r="A35" s="4" t="str">
        <f>Tally!I35</f>
        <v>Balance c/d</v>
      </c>
      <c r="B35" s="4"/>
      <c r="I35" s="52"/>
      <c r="J35" s="53"/>
    </row>
    <row r="36" spans="1:10" x14ac:dyDescent="0.25">
      <c r="A36" s="4" t="str">
        <f>Tally!I36</f>
        <v xml:space="preserve">Sub-Head </v>
      </c>
      <c r="B36" s="4"/>
      <c r="I36" s="52"/>
      <c r="J36" s="53"/>
    </row>
    <row r="37" spans="1:10" x14ac:dyDescent="0.25">
      <c r="A37" s="4" t="str">
        <f>Tally!I37</f>
        <v xml:space="preserve">Sub-Head </v>
      </c>
      <c r="B37" s="4"/>
      <c r="H37" s="54"/>
      <c r="I37" s="52"/>
      <c r="J37" s="53"/>
    </row>
    <row r="38" spans="1:10" x14ac:dyDescent="0.25">
      <c r="A38" s="4" t="str">
        <f>Tally!I38</f>
        <v xml:space="preserve">Sub-Head </v>
      </c>
      <c r="B38" s="4"/>
      <c r="H38" s="54"/>
      <c r="I38" s="52"/>
      <c r="J38" s="53"/>
    </row>
    <row r="39" spans="1:10" x14ac:dyDescent="0.25">
      <c r="A39" s="4" t="str">
        <f>Tally!I39</f>
        <v xml:space="preserve">Sub-Head </v>
      </c>
      <c r="B39" s="4"/>
      <c r="H39" s="54"/>
      <c r="I39" s="52"/>
      <c r="J39" s="53"/>
    </row>
    <row r="40" spans="1:10" x14ac:dyDescent="0.25">
      <c r="A40" s="4" t="str">
        <f>Tally!I40</f>
        <v xml:space="preserve">Sub-Head </v>
      </c>
      <c r="B40" s="4"/>
      <c r="H40" s="54"/>
      <c r="I40" s="52"/>
      <c r="J40" s="53"/>
    </row>
    <row r="41" spans="1:10" x14ac:dyDescent="0.25">
      <c r="A41" s="4" t="str">
        <f>Tally!I41</f>
        <v xml:space="preserve">Sub-Head </v>
      </c>
      <c r="B41" s="4"/>
      <c r="H41" s="54"/>
      <c r="I41" s="54"/>
      <c r="J41" s="54"/>
    </row>
    <row r="42" spans="1:10" x14ac:dyDescent="0.25">
      <c r="A42" s="4" t="str">
        <f>Tally!I42</f>
        <v xml:space="preserve">Sub-Head </v>
      </c>
      <c r="B42" s="4"/>
      <c r="H42" s="54"/>
      <c r="I42" s="54"/>
      <c r="J42" s="54"/>
    </row>
    <row r="43" spans="1:10" x14ac:dyDescent="0.25">
      <c r="A43" s="4" t="str">
        <f>Tally!I43</f>
        <v xml:space="preserve">Sub-Head </v>
      </c>
      <c r="B43" s="4"/>
    </row>
    <row r="44" spans="1:10" x14ac:dyDescent="0.25">
      <c r="A44" s="4" t="str">
        <f>Tally!I44</f>
        <v xml:space="preserve">Sub-Head </v>
      </c>
    </row>
    <row r="45" spans="1:10" x14ac:dyDescent="0.25">
      <c r="A45" s="4" t="str">
        <f>Tally!I45</f>
        <v xml:space="preserve">Sub-Head 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Entries</vt:lpstr>
      <vt:lpstr>T Account</vt:lpstr>
      <vt:lpstr>Tally</vt:lpstr>
      <vt:lpstr>MBS</vt:lpstr>
      <vt:lpstr>Dash</vt:lpstr>
      <vt:lpstr>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Suranjan</dc:creator>
  <cp:lastModifiedBy>sd</cp:lastModifiedBy>
  <cp:lastPrinted>2017-03-09T16:39:40Z</cp:lastPrinted>
  <dcterms:created xsi:type="dcterms:W3CDTF">2014-12-31T14:51:01Z</dcterms:created>
  <dcterms:modified xsi:type="dcterms:W3CDTF">2017-04-21T15:56:32Z</dcterms:modified>
</cp:coreProperties>
</file>